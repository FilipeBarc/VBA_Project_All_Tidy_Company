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drawings/drawing47.xml" ContentType="application/vnd.openxmlformats-officedocument.drawing+xml"/>
  <Override PartName="/xl/drawings/drawing48.xml" ContentType="application/vnd.openxmlformats-officedocument.drawing+xml"/>
  <Override PartName="/xl/drawings/drawing49.xml" ContentType="application/vnd.openxmlformats-officedocument.drawing+xml"/>
  <Override PartName="/xl/drawings/drawing50.xml" ContentType="application/vnd.openxmlformats-officedocument.drawing+xml"/>
  <Override PartName="/xl/drawings/drawing51.xml" ContentType="application/vnd.openxmlformats-officedocument.drawing+xml"/>
  <Override PartName="/xl/drawings/drawing52.xml" ContentType="application/vnd.openxmlformats-officedocument.drawing+xml"/>
  <Override PartName="/xl/drawings/drawing53.xml" ContentType="application/vnd.openxmlformats-officedocument.drawing+xml"/>
  <Override PartName="/xl/drawings/drawing54.xml" ContentType="application/vnd.openxmlformats-officedocument.drawing+xml"/>
  <Override PartName="/xl/drawings/drawing55.xml" ContentType="application/vnd.openxmlformats-officedocument.drawing+xml"/>
  <Override PartName="/xl/drawings/drawing56.xml" ContentType="application/vnd.openxmlformats-officedocument.drawing+xml"/>
  <Override PartName="/xl/drawings/drawing57.xml" ContentType="application/vnd.openxmlformats-officedocument.drawing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8.xml" ContentType="application/vnd.openxmlformats-officedocument.drawing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9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reice Calloni\Desktop\Greice Project\"/>
    </mc:Choice>
  </mc:AlternateContent>
  <xr:revisionPtr revIDLastSave="0" documentId="13_ncr:1_{31B83D49-6A19-459A-88BD-2133A69ABCE0}" xr6:coauthVersionLast="47" xr6:coauthVersionMax="47" xr10:uidLastSave="{00000000-0000-0000-0000-000000000000}"/>
  <bookViews>
    <workbookView xWindow="-120" yWindow="-120" windowWidth="20730" windowHeight="11160" tabRatio="808" xr2:uid="{35D07D7A-A440-47B5-8E4B-848FCA98B791}"/>
  </bookViews>
  <sheets>
    <sheet name="Services" sheetId="5" r:id="rId1"/>
    <sheet name="Greice Calloni" sheetId="165" r:id="rId2"/>
    <sheet name="Filipe Barcellos" sheetId="164" r:id="rId3"/>
    <sheet name="Gina Mercer" sheetId="60" r:id="rId4"/>
    <sheet name="Kathryn Nigel" sheetId="61" r:id="rId5"/>
    <sheet name="Owen" sheetId="62" r:id="rId6"/>
    <sheet name="Sarah Black" sheetId="63" r:id="rId7"/>
    <sheet name="Sarah Walker" sheetId="65" r:id="rId8"/>
    <sheet name="Sophie Baran" sheetId="66" r:id="rId9"/>
    <sheet name="Amanda Spong" sheetId="67" r:id="rId10"/>
    <sheet name="Anita Nielsen" sheetId="68" r:id="rId11"/>
    <sheet name="Angie Kyle" sheetId="69" r:id="rId12"/>
    <sheet name="Benjamin Hope" sheetId="70" r:id="rId13"/>
    <sheet name="Daniel Jonas" sheetId="71" r:id="rId14"/>
    <sheet name="Janet Parsell" sheetId="72" r:id="rId15"/>
    <sheet name="Jacqueline Liffiton" sheetId="73" r:id="rId16"/>
    <sheet name="Jenni Mandersloot" sheetId="74" r:id="rId17"/>
    <sheet name="Kerrie Swadling" sheetId="75" r:id="rId18"/>
    <sheet name="Krystal Smith" sheetId="76" r:id="rId19"/>
    <sheet name="Lia Freestone" sheetId="77" r:id="rId20"/>
    <sheet name="Maria Matsouris" sheetId="78" r:id="rId21"/>
    <sheet name="Marita Jones" sheetId="79" r:id="rId22"/>
    <sheet name="Vanessa" sheetId="80" r:id="rId23"/>
    <sheet name="Amber Sherrin " sheetId="81" r:id="rId24"/>
    <sheet name="Cameron Crawford" sheetId="82" r:id="rId25"/>
    <sheet name="Caroline McLeod" sheetId="83" r:id="rId26"/>
    <sheet name="Julie Efron" sheetId="84" r:id="rId27"/>
    <sheet name="Kate Delphin" sheetId="85" r:id="rId28"/>
    <sheet name="Kieran Siedler" sheetId="86" r:id="rId29"/>
    <sheet name="Lucy Mercer Mapstone" sheetId="87" r:id="rId30"/>
    <sheet name="Sonia Weidenbach" sheetId="88" r:id="rId31"/>
    <sheet name="Julie Moltmann" sheetId="89" r:id="rId32"/>
    <sheet name="Emma Holman" sheetId="90" r:id="rId33"/>
    <sheet name="Harley Gorman" sheetId="91" r:id="rId34"/>
    <sheet name="Jaclyn Parker" sheetId="92" r:id="rId35"/>
    <sheet name="Jessica Sargent" sheetId="93" r:id="rId36"/>
    <sheet name="Kirsten Free" sheetId="94" r:id="rId37"/>
    <sheet name="Kirsty Jentsch" sheetId="95" r:id="rId38"/>
    <sheet name="Rachael Mohamad" sheetId="97" r:id="rId39"/>
    <sheet name="Rachel Freeman" sheetId="98" r:id="rId40"/>
    <sheet name="Adam Parker" sheetId="99" r:id="rId41"/>
    <sheet name="Alexander Zalotockyj" sheetId="100" r:id="rId42"/>
    <sheet name="Annette Palmer" sheetId="101" r:id="rId43"/>
    <sheet name="Kate Wright" sheetId="59" r:id="rId44"/>
    <sheet name="Katy Nesbitt" sheetId="103" r:id="rId45"/>
    <sheet name="Olivia Jinadasa " sheetId="104" r:id="rId46"/>
    <sheet name="Sarah Mackie " sheetId="105" r:id="rId47"/>
    <sheet name="Shani Hutchison" sheetId="106" r:id="rId48"/>
    <sheet name="The Link" sheetId="107" r:id="rId49"/>
    <sheet name="Alex McKeown" sheetId="54" r:id="rId50"/>
    <sheet name="Angie Sue" sheetId="55" r:id="rId51"/>
    <sheet name="Carly Robson" sheetId="56" r:id="rId52"/>
    <sheet name="Claire Haas" sheetId="57" r:id="rId53"/>
    <sheet name="Eleanor Robb" sheetId="58" r:id="rId54"/>
    <sheet name="End of Lease" sheetId="108" r:id="rId55"/>
    <sheet name="One-off" sheetId="109" r:id="rId56"/>
    <sheet name="Weekly Finances 2021-2022" sheetId="6" r:id="rId57"/>
    <sheet name="Staff Payments" sheetId="12" r:id="rId58"/>
    <sheet name="Template" sheetId="113" r:id="rId59"/>
  </sheets>
  <definedNames>
    <definedName name="_xlnm._FilterDatabase" localSheetId="57" hidden="1">'Staff Payments'!$A$4:$P$4</definedName>
    <definedName name="_xlnm._FilterDatabase" localSheetId="56" hidden="1">'Weekly Finances 2021-2022'!$A$4:$I$4</definedName>
    <definedName name="_xlnm.Print_Area" localSheetId="40">'Adam Parker'!$A$1:$I$48</definedName>
    <definedName name="_xlnm.Print_Area" localSheetId="49">'Alex McKeown'!$A$1:$I$47</definedName>
    <definedName name="_xlnm.Print_Area" localSheetId="41">'Alexander Zalotockyj'!$A$1:$I$47</definedName>
    <definedName name="_xlnm.Print_Area" localSheetId="9">'Amanda Spong'!$A$1:$I$45</definedName>
    <definedName name="_xlnm.Print_Area" localSheetId="23">'Amber Sherrin '!$A$1:$I$45</definedName>
    <definedName name="_xlnm.Print_Area" localSheetId="11">'Angie Kyle'!$A$1:$I$46</definedName>
    <definedName name="_xlnm.Print_Area" localSheetId="50">'Angie Sue'!$A$1:$I$46</definedName>
    <definedName name="_xlnm.Print_Area" localSheetId="10">'Anita Nielsen'!$A$1:$I$46</definedName>
    <definedName name="_xlnm.Print_Area" localSheetId="42">'Annette Palmer'!$A$1:$I$47</definedName>
    <definedName name="_xlnm.Print_Area" localSheetId="12">'Benjamin Hope'!$A$1:$I$47</definedName>
    <definedName name="_xlnm.Print_Area" localSheetId="24">'Cameron Crawford'!$A$1:$I$47</definedName>
    <definedName name="_xlnm.Print_Area" localSheetId="51">'Carly Robson'!$A$1:$I$46</definedName>
    <definedName name="_xlnm.Print_Area" localSheetId="25">'Caroline McLeod'!$A$1:$I$47</definedName>
    <definedName name="_xlnm.Print_Area" localSheetId="52">'Claire Haas'!$A$1:$I$47</definedName>
    <definedName name="_xlnm.Print_Area" localSheetId="13">'Daniel Jonas'!$A$1:$I$45</definedName>
    <definedName name="_xlnm.Print_Area" localSheetId="53">'Eleanor Robb'!$A$1:$I$47</definedName>
    <definedName name="_xlnm.Print_Area" localSheetId="32">'Emma Holman'!$A$1:$I$47</definedName>
    <definedName name="_xlnm.Print_Area" localSheetId="54">'End of Lease'!$A$1:$I$47</definedName>
    <definedName name="_xlnm.Print_Area" localSheetId="3">'Gina Mercer'!$A$1:$I$45</definedName>
    <definedName name="_xlnm.Print_Area" localSheetId="33">'Harley Gorman'!$A$1:$I$47</definedName>
    <definedName name="_xlnm.Print_Area" localSheetId="34">'Jaclyn Parker'!$A$1:$I$47</definedName>
    <definedName name="_xlnm.Print_Area" localSheetId="15">'Jacqueline Liffiton'!$A$1:$I$47</definedName>
    <definedName name="_xlnm.Print_Area" localSheetId="14">'Janet Parsell'!$A$1:$I$47</definedName>
    <definedName name="_xlnm.Print_Area" localSheetId="16">'Jenni Mandersloot'!$A$1:$I$47</definedName>
    <definedName name="_xlnm.Print_Area" localSheetId="35">'Jessica Sargent'!$A$1:$I$47</definedName>
    <definedName name="_xlnm.Print_Area" localSheetId="26">'Julie Efron'!$A$1:$I$47</definedName>
    <definedName name="_xlnm.Print_Area" localSheetId="31">'Julie Moltmann'!$A$1:$I$47</definedName>
    <definedName name="_xlnm.Print_Area" localSheetId="27">'Kate Delphin'!$A$1:$I$46</definedName>
    <definedName name="_xlnm.Print_Area" localSheetId="43">'Kate Wright'!$A$1:$I$47</definedName>
    <definedName name="_xlnm.Print_Area" localSheetId="4">'Kathryn Nigel'!$A$1:$I$46</definedName>
    <definedName name="_xlnm.Print_Area" localSheetId="44">'Katy Nesbitt'!$A$1:$I$46</definedName>
    <definedName name="_xlnm.Print_Area" localSheetId="17">'Kerrie Swadling'!$A$1:$I$47</definedName>
    <definedName name="_xlnm.Print_Area" localSheetId="28">'Kieran Siedler'!$A$1:$I$47</definedName>
    <definedName name="_xlnm.Print_Area" localSheetId="36">'Kirsten Free'!$A$1:$I$47</definedName>
    <definedName name="_xlnm.Print_Area" localSheetId="37">'Kirsty Jentsch'!$A$1:$I$47</definedName>
    <definedName name="_xlnm.Print_Area" localSheetId="18">'Krystal Smith'!$A$1:$I$47</definedName>
    <definedName name="_xlnm.Print_Area" localSheetId="19">'Lia Freestone'!$A$1:$I$45</definedName>
    <definedName name="_xlnm.Print_Area" localSheetId="29">'Lucy Mercer Mapstone'!$A$1:$I$47</definedName>
    <definedName name="_xlnm.Print_Area" localSheetId="20">'Maria Matsouris'!$A$1:$I$47</definedName>
    <definedName name="_xlnm.Print_Area" localSheetId="21">'Marita Jones'!$A$1:$I$47</definedName>
    <definedName name="_xlnm.Print_Area" localSheetId="45">'Olivia Jinadasa '!$A$1:$I$46</definedName>
    <definedName name="_xlnm.Print_Area" localSheetId="55">'One-off'!$A$1:$I$47</definedName>
    <definedName name="_xlnm.Print_Area" localSheetId="5">Owen!$A$1:$I$47</definedName>
    <definedName name="_xlnm.Print_Area" localSheetId="38">'Rachael Mohamad'!$A$1:$I$47</definedName>
    <definedName name="_xlnm.Print_Area" localSheetId="39">'Rachel Freeman'!$A$1:$I$47</definedName>
    <definedName name="_xlnm.Print_Area" localSheetId="6">'Sarah Black'!$A$1:$I$47</definedName>
    <definedName name="_xlnm.Print_Area" localSheetId="46">'Sarah Mackie '!$A$1:$I$46</definedName>
    <definedName name="_xlnm.Print_Area" localSheetId="7">'Sarah Walker'!$A$1:$I$47</definedName>
    <definedName name="_xlnm.Print_Area" localSheetId="47">'Shani Hutchison'!$A$1:$I$46</definedName>
    <definedName name="_xlnm.Print_Area" localSheetId="30">'Sonia Weidenbach'!$A$1:$I$47</definedName>
    <definedName name="_xlnm.Print_Area" localSheetId="8">'Sophie Baran'!$A$1:$I$47</definedName>
    <definedName name="_xlnm.Print_Area" localSheetId="58">Template!$A$1:$I$47</definedName>
    <definedName name="_xlnm.Print_Area" localSheetId="48">'The Link'!$A$1:$I$49</definedName>
    <definedName name="_xlnm.Print_Area" localSheetId="22">Vanessa!$A$1:$I$47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6" i="5" l="1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5" i="5"/>
  <c r="I5" i="5"/>
  <c r="J62" i="5"/>
  <c r="R5" i="5"/>
  <c r="H11" i="165"/>
  <c r="H28" i="165"/>
  <c r="H30" i="165" s="1"/>
  <c r="B28" i="165"/>
  <c r="H15" i="165"/>
  <c r="H5" i="5"/>
  <c r="H7" i="5"/>
  <c r="I7" i="5" s="1"/>
  <c r="H8" i="5"/>
  <c r="I8" i="5" s="1"/>
  <c r="H9" i="5"/>
  <c r="I9" i="5" s="1"/>
  <c r="H10" i="5"/>
  <c r="I10" i="5" s="1"/>
  <c r="H11" i="5"/>
  <c r="I11" i="5" s="1"/>
  <c r="H12" i="5"/>
  <c r="I12" i="5" s="1"/>
  <c r="H13" i="5"/>
  <c r="I13" i="5" s="1"/>
  <c r="H14" i="5"/>
  <c r="I14" i="5" s="1"/>
  <c r="H15" i="5"/>
  <c r="I15" i="5" s="1"/>
  <c r="H16" i="5"/>
  <c r="I16" i="5" s="1"/>
  <c r="H17" i="5"/>
  <c r="I17" i="5" s="1"/>
  <c r="H18" i="5"/>
  <c r="I18" i="5" s="1"/>
  <c r="H19" i="5"/>
  <c r="I19" i="5" s="1"/>
  <c r="H20" i="5"/>
  <c r="I20" i="5" s="1"/>
  <c r="H21" i="5"/>
  <c r="I21" i="5" s="1"/>
  <c r="H22" i="5"/>
  <c r="I22" i="5" s="1"/>
  <c r="H23" i="5"/>
  <c r="I23" i="5" s="1"/>
  <c r="H24" i="5"/>
  <c r="I24" i="5" s="1"/>
  <c r="H25" i="5"/>
  <c r="I25" i="5" s="1"/>
  <c r="H26" i="5"/>
  <c r="I26" i="5" s="1"/>
  <c r="H27" i="5"/>
  <c r="I27" i="5" s="1"/>
  <c r="H28" i="5"/>
  <c r="I28" i="5" s="1"/>
  <c r="H29" i="5"/>
  <c r="I29" i="5" s="1"/>
  <c r="H30" i="5"/>
  <c r="I30" i="5" s="1"/>
  <c r="H31" i="5"/>
  <c r="I31" i="5" s="1"/>
  <c r="H32" i="5"/>
  <c r="I32" i="5" s="1"/>
  <c r="H33" i="5"/>
  <c r="I33" i="5" s="1"/>
  <c r="H34" i="5"/>
  <c r="I34" i="5" s="1"/>
  <c r="H35" i="5"/>
  <c r="I35" i="5" s="1"/>
  <c r="H36" i="5"/>
  <c r="I36" i="5" s="1"/>
  <c r="H37" i="5"/>
  <c r="I37" i="5" s="1"/>
  <c r="H38" i="5"/>
  <c r="I38" i="5" s="1"/>
  <c r="H39" i="5"/>
  <c r="I39" i="5" s="1"/>
  <c r="H40" i="5"/>
  <c r="I40" i="5" s="1"/>
  <c r="H41" i="5"/>
  <c r="I41" i="5" s="1"/>
  <c r="H42" i="5"/>
  <c r="I42" i="5" s="1"/>
  <c r="H43" i="5"/>
  <c r="I43" i="5" s="1"/>
  <c r="H44" i="5"/>
  <c r="I44" i="5" s="1"/>
  <c r="H45" i="5"/>
  <c r="I45" i="5" s="1"/>
  <c r="H46" i="5"/>
  <c r="I46" i="5" s="1"/>
  <c r="H47" i="5"/>
  <c r="I47" i="5" s="1"/>
  <c r="H48" i="5"/>
  <c r="I48" i="5" s="1"/>
  <c r="H49" i="5"/>
  <c r="I49" i="5" s="1"/>
  <c r="H50" i="5"/>
  <c r="I50" i="5" s="1"/>
  <c r="H51" i="5"/>
  <c r="I51" i="5" s="1"/>
  <c r="H52" i="5"/>
  <c r="I52" i="5" s="1"/>
  <c r="H53" i="5"/>
  <c r="I53" i="5" s="1"/>
  <c r="H54" i="5"/>
  <c r="I54" i="5" s="1"/>
  <c r="H55" i="5"/>
  <c r="I55" i="5" s="1"/>
  <c r="H56" i="5"/>
  <c r="I56" i="5" s="1"/>
  <c r="H57" i="5"/>
  <c r="I57" i="5" s="1"/>
  <c r="H58" i="5"/>
  <c r="I58" i="5" s="1"/>
  <c r="H59" i="5"/>
  <c r="I59" i="5" s="1"/>
  <c r="H60" i="5"/>
  <c r="I60" i="5" s="1"/>
  <c r="H61" i="5"/>
  <c r="I61" i="5" s="1"/>
  <c r="H6" i="5"/>
  <c r="I6" i="5" s="1"/>
  <c r="H11" i="164"/>
  <c r="H28" i="164"/>
  <c r="H31" i="164" s="1"/>
  <c r="B28" i="164"/>
  <c r="H15" i="164"/>
  <c r="B28" i="113"/>
  <c r="H28" i="113"/>
  <c r="H31" i="113" s="1"/>
  <c r="H15" i="113"/>
  <c r="H11" i="113"/>
  <c r="H11" i="109"/>
  <c r="H11" i="108"/>
  <c r="H11" i="58"/>
  <c r="H11" i="57"/>
  <c r="H11" i="56"/>
  <c r="H11" i="55"/>
  <c r="H11" i="54"/>
  <c r="H11" i="107"/>
  <c r="H11" i="106"/>
  <c r="H11" i="105"/>
  <c r="H11" i="104"/>
  <c r="H11" i="103"/>
  <c r="H11" i="59"/>
  <c r="H11" i="101"/>
  <c r="H11" i="100"/>
  <c r="H11" i="99"/>
  <c r="H11" i="98"/>
  <c r="H11" i="97"/>
  <c r="H11" i="95"/>
  <c r="H11" i="94"/>
  <c r="H11" i="93"/>
  <c r="H11" i="92"/>
  <c r="H11" i="91"/>
  <c r="H11" i="90"/>
  <c r="H11" i="89"/>
  <c r="H11" i="88"/>
  <c r="H11" i="87"/>
  <c r="H11" i="86"/>
  <c r="H11" i="85"/>
  <c r="H11" i="84"/>
  <c r="H11" i="83"/>
  <c r="H11" i="82"/>
  <c r="H11" i="81"/>
  <c r="H11" i="80"/>
  <c r="H11" i="79"/>
  <c r="H11" i="78"/>
  <c r="H11" i="77"/>
  <c r="H11" i="76"/>
  <c r="H11" i="75"/>
  <c r="H11" i="74"/>
  <c r="H11" i="73"/>
  <c r="H11" i="72"/>
  <c r="H11" i="71"/>
  <c r="H11" i="70"/>
  <c r="H11" i="69"/>
  <c r="H11" i="68"/>
  <c r="H11" i="67"/>
  <c r="H11" i="66"/>
  <c r="H11" i="65"/>
  <c r="H11" i="63"/>
  <c r="H11" i="62"/>
  <c r="H11" i="61"/>
  <c r="H11" i="60"/>
  <c r="D62" i="5"/>
  <c r="H32" i="109"/>
  <c r="H28" i="109"/>
  <c r="H30" i="109" s="1"/>
  <c r="H15" i="109"/>
  <c r="H28" i="108"/>
  <c r="H31" i="108" s="1"/>
  <c r="H15" i="108"/>
  <c r="H29" i="107"/>
  <c r="B29" i="107"/>
  <c r="H28" i="107"/>
  <c r="H32" i="107" s="1"/>
  <c r="H15" i="107"/>
  <c r="H31" i="106"/>
  <c r="H30" i="106"/>
  <c r="H33" i="106" s="1"/>
  <c r="G43" i="106" s="1"/>
  <c r="H28" i="106"/>
  <c r="H15" i="106"/>
  <c r="H28" i="105"/>
  <c r="H30" i="105" s="1"/>
  <c r="H15" i="105"/>
  <c r="H31" i="104"/>
  <c r="H30" i="104"/>
  <c r="H33" i="104" s="1"/>
  <c r="G43" i="104" s="1"/>
  <c r="H29" i="104"/>
  <c r="H28" i="104"/>
  <c r="H15" i="104"/>
  <c r="H30" i="103"/>
  <c r="H28" i="103"/>
  <c r="H31" i="103" s="1"/>
  <c r="H15" i="103"/>
  <c r="H30" i="101"/>
  <c r="H28" i="101"/>
  <c r="H31" i="101" s="1"/>
  <c r="H15" i="101"/>
  <c r="H28" i="100"/>
  <c r="H30" i="100" s="1"/>
  <c r="H15" i="100"/>
  <c r="H31" i="99"/>
  <c r="H28" i="99"/>
  <c r="H15" i="99"/>
  <c r="H28" i="98"/>
  <c r="H30" i="98" s="1"/>
  <c r="H15" i="98"/>
  <c r="H30" i="97"/>
  <c r="H28" i="97"/>
  <c r="H15" i="97"/>
  <c r="H30" i="95"/>
  <c r="H28" i="95"/>
  <c r="H15" i="95"/>
  <c r="H28" i="94"/>
  <c r="H30" i="94" s="1"/>
  <c r="H15" i="94"/>
  <c r="F28" i="93"/>
  <c r="H28" i="93" s="1"/>
  <c r="H30" i="93" s="1"/>
  <c r="H15" i="93"/>
  <c r="H28" i="92"/>
  <c r="H30" i="92" s="1"/>
  <c r="H15" i="92"/>
  <c r="H31" i="91"/>
  <c r="H32" i="91" s="1"/>
  <c r="H28" i="91"/>
  <c r="H15" i="91"/>
  <c r="H28" i="90"/>
  <c r="H30" i="90" s="1"/>
  <c r="H15" i="90"/>
  <c r="H31" i="89"/>
  <c r="H30" i="89"/>
  <c r="H33" i="89" s="1"/>
  <c r="E44" i="89" s="1"/>
  <c r="H28" i="89"/>
  <c r="H15" i="89"/>
  <c r="H28" i="88"/>
  <c r="H30" i="88" s="1"/>
  <c r="H15" i="88"/>
  <c r="H31" i="87"/>
  <c r="H30" i="87"/>
  <c r="H33" i="87" s="1"/>
  <c r="E44" i="87" s="1"/>
  <c r="H28" i="87"/>
  <c r="H15" i="87"/>
  <c r="H28" i="86"/>
  <c r="H30" i="86" s="1"/>
  <c r="H15" i="86"/>
  <c r="H31" i="85"/>
  <c r="H30" i="85"/>
  <c r="H33" i="85" s="1"/>
  <c r="G43" i="85" s="1"/>
  <c r="H28" i="85"/>
  <c r="H15" i="85"/>
  <c r="M14" i="85"/>
  <c r="H30" i="84"/>
  <c r="H28" i="84"/>
  <c r="H15" i="84"/>
  <c r="H28" i="83"/>
  <c r="H30" i="83" s="1"/>
  <c r="H15" i="83"/>
  <c r="H30" i="82"/>
  <c r="H28" i="82"/>
  <c r="H15" i="82"/>
  <c r="H28" i="81"/>
  <c r="H30" i="81" s="1"/>
  <c r="H15" i="81"/>
  <c r="H30" i="80"/>
  <c r="H28" i="80"/>
  <c r="H15" i="80"/>
  <c r="H28" i="79"/>
  <c r="H31" i="79" s="1"/>
  <c r="H15" i="79"/>
  <c r="H30" i="78"/>
  <c r="H33" i="78" s="1"/>
  <c r="E44" i="78" s="1"/>
  <c r="H28" i="78"/>
  <c r="H31" i="78" s="1"/>
  <c r="H15" i="78"/>
  <c r="H28" i="77"/>
  <c r="H30" i="77" s="1"/>
  <c r="H15" i="77"/>
  <c r="H30" i="76"/>
  <c r="H29" i="76"/>
  <c r="H28" i="76"/>
  <c r="H15" i="76"/>
  <c r="H28" i="75"/>
  <c r="H30" i="75" s="1"/>
  <c r="H15" i="75"/>
  <c r="H31" i="74"/>
  <c r="H30" i="74"/>
  <c r="H33" i="74" s="1"/>
  <c r="E44" i="74" s="1"/>
  <c r="H28" i="74"/>
  <c r="H15" i="74"/>
  <c r="H28" i="73"/>
  <c r="H30" i="73" s="1"/>
  <c r="H15" i="73"/>
  <c r="H28" i="72"/>
  <c r="H30" i="72" s="1"/>
  <c r="H15" i="72"/>
  <c r="H30" i="71"/>
  <c r="H28" i="71"/>
  <c r="H15" i="71"/>
  <c r="H28" i="70"/>
  <c r="H30" i="70" s="1"/>
  <c r="H15" i="70"/>
  <c r="H30" i="69"/>
  <c r="H28" i="69"/>
  <c r="H15" i="69"/>
  <c r="H28" i="68"/>
  <c r="H30" i="68" s="1"/>
  <c r="K22" i="68"/>
  <c r="H15" i="68"/>
  <c r="H31" i="67"/>
  <c r="H30" i="67"/>
  <c r="H33" i="67" s="1"/>
  <c r="G42" i="67" s="1"/>
  <c r="H28" i="67"/>
  <c r="H15" i="67"/>
  <c r="H28" i="66"/>
  <c r="H30" i="66" s="1"/>
  <c r="H15" i="66"/>
  <c r="H28" i="65"/>
  <c r="H30" i="65" s="1"/>
  <c r="H15" i="65"/>
  <c r="H28" i="63"/>
  <c r="H30" i="63" s="1"/>
  <c r="H15" i="63"/>
  <c r="H28" i="62"/>
  <c r="H30" i="62" s="1"/>
  <c r="H15" i="62"/>
  <c r="H28" i="61"/>
  <c r="H30" i="61" s="1"/>
  <c r="H15" i="61"/>
  <c r="H28" i="60"/>
  <c r="H30" i="60" s="1"/>
  <c r="H15" i="60"/>
  <c r="H31" i="59"/>
  <c r="H30" i="59"/>
  <c r="H33" i="59" s="1"/>
  <c r="E44" i="59" s="1"/>
  <c r="H28" i="59"/>
  <c r="H15" i="59"/>
  <c r="H28" i="58"/>
  <c r="H30" i="58" s="1"/>
  <c r="H15" i="58"/>
  <c r="H30" i="57"/>
  <c r="H28" i="57"/>
  <c r="H15" i="57"/>
  <c r="H28" i="56"/>
  <c r="H31" i="56" s="1"/>
  <c r="H15" i="56"/>
  <c r="H30" i="55"/>
  <c r="H28" i="55"/>
  <c r="H15" i="55"/>
  <c r="H28" i="54"/>
  <c r="H30" i="54" s="1"/>
  <c r="H15" i="54"/>
  <c r="H30" i="164" l="1"/>
  <c r="H33" i="164" s="1"/>
  <c r="G44" i="164" s="1"/>
  <c r="H31" i="165"/>
  <c r="H33" i="165" s="1"/>
  <c r="G44" i="165" s="1"/>
  <c r="H30" i="113"/>
  <c r="H33" i="113" s="1"/>
  <c r="G44" i="113" s="1"/>
  <c r="H34" i="91"/>
  <c r="G44" i="91" s="1"/>
  <c r="H31" i="68"/>
  <c r="H33" i="68" s="1"/>
  <c r="G43" i="68" s="1"/>
  <c r="H31" i="73"/>
  <c r="H33" i="73" s="1"/>
  <c r="E44" i="73" s="1"/>
  <c r="H33" i="60"/>
  <c r="G42" i="60" s="1"/>
  <c r="H31" i="60"/>
  <c r="H31" i="70"/>
  <c r="H33" i="70" s="1"/>
  <c r="E44" i="70" s="1"/>
  <c r="H31" i="86"/>
  <c r="H33" i="86" s="1"/>
  <c r="E44" i="86" s="1"/>
  <c r="H33" i="93"/>
  <c r="E44" i="93" s="1"/>
  <c r="H31" i="93"/>
  <c r="H31" i="98"/>
  <c r="H33" i="98"/>
  <c r="E44" i="98" s="1"/>
  <c r="H33" i="101"/>
  <c r="E44" i="101" s="1"/>
  <c r="H31" i="72"/>
  <c r="H33" i="72"/>
  <c r="H33" i="75"/>
  <c r="E44" i="75" s="1"/>
  <c r="H31" i="75"/>
  <c r="H31" i="81"/>
  <c r="H33" i="81"/>
  <c r="G42" i="81" s="1"/>
  <c r="H31" i="100"/>
  <c r="H33" i="100"/>
  <c r="E44" i="100" s="1"/>
  <c r="H33" i="105"/>
  <c r="G43" i="105" s="1"/>
  <c r="H31" i="105"/>
  <c r="H31" i="109"/>
  <c r="H33" i="109" s="1"/>
  <c r="E44" i="109" s="1"/>
  <c r="H31" i="77"/>
  <c r="H33" i="77"/>
  <c r="G42" i="77" s="1"/>
  <c r="H34" i="99"/>
  <c r="E45" i="99" s="1"/>
  <c r="H35" i="107"/>
  <c r="E46" i="107" s="1"/>
  <c r="H33" i="107"/>
  <c r="H31" i="62"/>
  <c r="H33" i="62" s="1"/>
  <c r="G44" i="62" s="1"/>
  <c r="H31" i="66"/>
  <c r="H33" i="66" s="1"/>
  <c r="G44" i="66" s="1"/>
  <c r="H31" i="90"/>
  <c r="H33" i="90" s="1"/>
  <c r="E44" i="90" s="1"/>
  <c r="H33" i="61"/>
  <c r="G43" i="61" s="1"/>
  <c r="H31" i="61"/>
  <c r="H31" i="63"/>
  <c r="H33" i="63"/>
  <c r="E44" i="63" s="1"/>
  <c r="H31" i="65"/>
  <c r="H33" i="65" s="1"/>
  <c r="G44" i="65" s="1"/>
  <c r="H33" i="69"/>
  <c r="G43" i="69" s="1"/>
  <c r="H31" i="83"/>
  <c r="H33" i="83" s="1"/>
  <c r="E44" i="83" s="1"/>
  <c r="H31" i="88"/>
  <c r="H33" i="88" s="1"/>
  <c r="E44" i="88" s="1"/>
  <c r="H33" i="92"/>
  <c r="E44" i="92" s="1"/>
  <c r="H31" i="92"/>
  <c r="H31" i="94"/>
  <c r="H33" i="94"/>
  <c r="E44" i="94" s="1"/>
  <c r="H33" i="97"/>
  <c r="E44" i="97" s="1"/>
  <c r="H33" i="103"/>
  <c r="G43" i="103" s="1"/>
  <c r="H31" i="69"/>
  <c r="H31" i="71"/>
  <c r="H33" i="71" s="1"/>
  <c r="G42" i="71" s="1"/>
  <c r="H31" i="76"/>
  <c r="H33" i="76" s="1"/>
  <c r="E44" i="76" s="1"/>
  <c r="H31" i="80"/>
  <c r="H33" i="80" s="1"/>
  <c r="G44" i="80" s="1"/>
  <c r="H31" i="82"/>
  <c r="H33" i="82" s="1"/>
  <c r="E44" i="82" s="1"/>
  <c r="H31" i="84"/>
  <c r="H33" i="84" s="1"/>
  <c r="E44" i="84" s="1"/>
  <c r="H31" i="95"/>
  <c r="H33" i="95" s="1"/>
  <c r="E44" i="95" s="1"/>
  <c r="H31" i="97"/>
  <c r="H32" i="99"/>
  <c r="H30" i="108"/>
  <c r="H33" i="108" s="1"/>
  <c r="G44" i="108" s="1"/>
  <c r="H30" i="79"/>
  <c r="H33" i="79" s="1"/>
  <c r="E44" i="79" s="1"/>
  <c r="H31" i="54"/>
  <c r="H33" i="54"/>
  <c r="E44" i="54" s="1"/>
  <c r="H31" i="58"/>
  <c r="H33" i="58"/>
  <c r="E44" i="58" s="1"/>
  <c r="H31" i="55"/>
  <c r="H33" i="55" s="1"/>
  <c r="G43" i="55" s="1"/>
  <c r="H31" i="57"/>
  <c r="H33" i="57" s="1"/>
  <c r="E44" i="57" s="1"/>
  <c r="H30" i="56"/>
  <c r="H33" i="56" s="1"/>
  <c r="G43" i="56" s="1"/>
  <c r="E44" i="72" l="1"/>
  <c r="L31" i="72"/>
  <c r="Q53" i="5" l="1"/>
  <c r="Q11" i="5"/>
  <c r="Q25" i="5"/>
  <c r="A33" i="12"/>
  <c r="Q63" i="5" l="1"/>
  <c r="Q62" i="5"/>
  <c r="C32" i="12"/>
  <c r="P32" i="12" s="1"/>
  <c r="A32" i="12"/>
  <c r="A33" i="6" l="1"/>
  <c r="F33" i="12"/>
  <c r="K33" i="12" l="1"/>
  <c r="G33" i="12"/>
  <c r="E33" i="12"/>
  <c r="H33" i="12"/>
  <c r="D33" i="12"/>
  <c r="C33" i="12"/>
  <c r="B33" i="6"/>
  <c r="P31" i="12"/>
  <c r="A32" i="6"/>
  <c r="A31" i="12"/>
  <c r="P33" i="12" l="1"/>
  <c r="C33" i="6"/>
  <c r="E33" i="6" s="1"/>
  <c r="B32" i="6"/>
  <c r="D33" i="6" l="1"/>
  <c r="F33" i="6" s="1"/>
  <c r="G33" i="6" s="1"/>
  <c r="H33" i="6" s="1"/>
  <c r="C32" i="6"/>
  <c r="D32" i="6" s="1"/>
  <c r="F32" i="6" s="1"/>
  <c r="E32" i="6" l="1"/>
  <c r="G32" i="6"/>
  <c r="H32" i="6" s="1"/>
  <c r="A31" i="6"/>
  <c r="A30" i="6"/>
  <c r="A30" i="12" l="1"/>
  <c r="A29" i="12" l="1"/>
  <c r="B31" i="6" l="1"/>
  <c r="B30" i="6"/>
  <c r="P30" i="12"/>
  <c r="P28" i="12"/>
  <c r="A28" i="12"/>
  <c r="A29" i="6"/>
  <c r="C30" i="6" l="1"/>
  <c r="E30" i="6" s="1"/>
  <c r="C31" i="6"/>
  <c r="D31" i="6" s="1"/>
  <c r="E29" i="12"/>
  <c r="B29" i="6"/>
  <c r="D30" i="6" l="1"/>
  <c r="F30" i="6" s="1"/>
  <c r="G30" i="6" s="1"/>
  <c r="H30" i="6" s="1"/>
  <c r="E31" i="6"/>
  <c r="P29" i="12"/>
  <c r="F31" i="6"/>
  <c r="G31" i="6" s="1"/>
  <c r="H31" i="6" s="1"/>
  <c r="C29" i="6"/>
  <c r="E29" i="6" s="1"/>
  <c r="D29" i="6" l="1"/>
  <c r="F29" i="6" s="1"/>
  <c r="G29" i="6" l="1"/>
  <c r="H29" i="6" s="1"/>
  <c r="A27" i="12" l="1"/>
  <c r="A28" i="6"/>
  <c r="A26" i="12"/>
  <c r="B28" i="6" l="1"/>
  <c r="C28" i="6"/>
  <c r="A27" i="6"/>
  <c r="D28" i="6" l="1"/>
  <c r="F28" i="6" s="1"/>
  <c r="G28" i="6" s="1"/>
  <c r="H28" i="6" s="1"/>
  <c r="E28" i="6"/>
  <c r="C27" i="12"/>
  <c r="D27" i="12"/>
  <c r="K27" i="12"/>
  <c r="F27" i="12"/>
  <c r="E27" i="12"/>
  <c r="H27" i="12"/>
  <c r="G27" i="12"/>
  <c r="B27" i="6"/>
  <c r="J27" i="12"/>
  <c r="P27" i="12" l="1"/>
  <c r="C27" i="6"/>
  <c r="D27" i="6" s="1"/>
  <c r="E27" i="6" l="1"/>
  <c r="F27" i="6"/>
  <c r="G27" i="6" s="1"/>
  <c r="H27" i="6" s="1"/>
  <c r="A25" i="12" l="1"/>
  <c r="A26" i="6"/>
  <c r="A25" i="6"/>
  <c r="E26" i="12" l="1"/>
  <c r="P26" i="12" s="1"/>
  <c r="B26" i="6" l="1"/>
  <c r="C26" i="6"/>
  <c r="D26" i="6" l="1"/>
  <c r="F26" i="6" s="1"/>
  <c r="G26" i="6" s="1"/>
  <c r="H26" i="6" s="1"/>
  <c r="E26" i="6"/>
  <c r="A24" i="12" l="1"/>
  <c r="A24" i="6"/>
  <c r="E25" i="12" l="1"/>
  <c r="B25" i="6"/>
  <c r="E24" i="12"/>
  <c r="A23" i="6"/>
  <c r="A23" i="12"/>
  <c r="P22" i="12"/>
  <c r="A22" i="12"/>
  <c r="C25" i="6" l="1"/>
  <c r="C24" i="6"/>
  <c r="D23" i="12"/>
  <c r="D25" i="6" l="1"/>
  <c r="F25" i="6" s="1"/>
  <c r="G25" i="6" s="1"/>
  <c r="H25" i="6" s="1"/>
  <c r="E25" i="6"/>
  <c r="B24" i="6"/>
  <c r="D24" i="6" s="1"/>
  <c r="F24" i="6" s="1"/>
  <c r="G24" i="6" s="1"/>
  <c r="H24" i="6" s="1"/>
  <c r="K23" i="12"/>
  <c r="F23" i="12"/>
  <c r="H23" i="12"/>
  <c r="E23" i="12"/>
  <c r="G23" i="12"/>
  <c r="B23" i="6"/>
  <c r="G24" i="12" l="1"/>
  <c r="G25" i="12" s="1"/>
  <c r="P25" i="12" s="1"/>
  <c r="E24" i="6"/>
  <c r="C23" i="12"/>
  <c r="P23" i="12" s="1"/>
  <c r="C23" i="6"/>
  <c r="A21" i="12"/>
  <c r="A22" i="6"/>
  <c r="A20" i="12"/>
  <c r="P24" i="12" l="1"/>
  <c r="D23" i="6"/>
  <c r="E23" i="6"/>
  <c r="B22" i="6"/>
  <c r="A21" i="6"/>
  <c r="F23" i="6" l="1"/>
  <c r="G23" i="6" s="1"/>
  <c r="H23" i="6" s="1"/>
  <c r="C22" i="6"/>
  <c r="E22" i="6" s="1"/>
  <c r="D22" i="6" l="1"/>
  <c r="B21" i="6"/>
  <c r="P19" i="12"/>
  <c r="A19" i="12"/>
  <c r="A20" i="6"/>
  <c r="A18" i="12"/>
  <c r="A19" i="6"/>
  <c r="A18" i="6"/>
  <c r="P21" i="12" l="1"/>
  <c r="F22" i="6"/>
  <c r="G22" i="6" s="1"/>
  <c r="H22" i="6" s="1"/>
  <c r="C21" i="6"/>
  <c r="E21" i="6" s="1"/>
  <c r="B20" i="6"/>
  <c r="B19" i="6"/>
  <c r="D21" i="6" l="1"/>
  <c r="F21" i="6" s="1"/>
  <c r="G21" i="6" s="1"/>
  <c r="H21" i="6" s="1"/>
  <c r="P20" i="12"/>
  <c r="C20" i="6"/>
  <c r="E20" i="6" s="1"/>
  <c r="C19" i="6"/>
  <c r="E19" i="6" s="1"/>
  <c r="D20" i="6" l="1"/>
  <c r="F20" i="6" s="1"/>
  <c r="G20" i="6" s="1"/>
  <c r="H20" i="6" s="1"/>
  <c r="D19" i="6"/>
  <c r="F19" i="6" s="1"/>
  <c r="G19" i="6" s="1"/>
  <c r="H19" i="6" s="1"/>
  <c r="A17" i="12" l="1"/>
  <c r="M16" i="12"/>
  <c r="A16" i="12"/>
  <c r="A17" i="6"/>
  <c r="E18" i="12" l="1"/>
  <c r="P18" i="12" s="1"/>
  <c r="E17" i="12"/>
  <c r="C17" i="12"/>
  <c r="B17" i="6"/>
  <c r="A16" i="6"/>
  <c r="B18" i="6" l="1"/>
  <c r="P17" i="12"/>
  <c r="C18" i="6"/>
  <c r="C17" i="6"/>
  <c r="E17" i="6" s="1"/>
  <c r="A15" i="12"/>
  <c r="A15" i="6"/>
  <c r="P13" i="12"/>
  <c r="P14" i="12"/>
  <c r="A14" i="12"/>
  <c r="A13" i="12"/>
  <c r="E18" i="6" l="1"/>
  <c r="D18" i="6"/>
  <c r="F18" i="6" s="1"/>
  <c r="G18" i="6" s="1"/>
  <c r="H18" i="6" s="1"/>
  <c r="D17" i="6"/>
  <c r="F17" i="6" s="1"/>
  <c r="G17" i="6" s="1"/>
  <c r="H17" i="6" s="1"/>
  <c r="G16" i="12"/>
  <c r="F16" i="12"/>
  <c r="E16" i="12"/>
  <c r="L16" i="12"/>
  <c r="C16" i="12"/>
  <c r="D16" i="12"/>
  <c r="B16" i="6"/>
  <c r="C15" i="12"/>
  <c r="D15" i="12"/>
  <c r="L15" i="12"/>
  <c r="G15" i="12"/>
  <c r="F15" i="12"/>
  <c r="B15" i="6"/>
  <c r="A14" i="6"/>
  <c r="P12" i="12"/>
  <c r="A12" i="12"/>
  <c r="P16" i="12" l="1"/>
  <c r="C16" i="6"/>
  <c r="E16" i="6" s="1"/>
  <c r="P15" i="12"/>
  <c r="C15" i="6"/>
  <c r="E15" i="6" s="1"/>
  <c r="B14" i="6"/>
  <c r="A13" i="6"/>
  <c r="P11" i="12"/>
  <c r="A11" i="12"/>
  <c r="A12" i="6"/>
  <c r="D16" i="6" l="1"/>
  <c r="F16" i="6" s="1"/>
  <c r="G16" i="6" s="1"/>
  <c r="H16" i="6" s="1"/>
  <c r="D15" i="6"/>
  <c r="F15" i="6" s="1"/>
  <c r="G15" i="6" s="1"/>
  <c r="H15" i="6" s="1"/>
  <c r="C14" i="6"/>
  <c r="E14" i="6" s="1"/>
  <c r="B13" i="6"/>
  <c r="P10" i="12"/>
  <c r="A10" i="12"/>
  <c r="D14" i="6" l="1"/>
  <c r="C13" i="6"/>
  <c r="E13" i="6" s="1"/>
  <c r="B12" i="6"/>
  <c r="A11" i="6"/>
  <c r="A10" i="6"/>
  <c r="F14" i="6" l="1"/>
  <c r="G14" i="6" s="1"/>
  <c r="D13" i="6"/>
  <c r="F13" i="6" s="1"/>
  <c r="G13" i="6" s="1"/>
  <c r="H13" i="6" s="1"/>
  <c r="C12" i="6"/>
  <c r="D12" i="6" s="1"/>
  <c r="B11" i="6"/>
  <c r="H14" i="6" l="1"/>
  <c r="E12" i="6"/>
  <c r="C11" i="6"/>
  <c r="E11" i="6" s="1"/>
  <c r="F12" i="6"/>
  <c r="G12" i="6" l="1"/>
  <c r="D11" i="6"/>
  <c r="A9" i="12"/>
  <c r="P6" i="12"/>
  <c r="F11" i="6" l="1"/>
  <c r="H12" i="6"/>
  <c r="B10" i="6"/>
  <c r="A8" i="12"/>
  <c r="A9" i="6"/>
  <c r="C7" i="12"/>
  <c r="A7" i="12"/>
  <c r="A8" i="6"/>
  <c r="G11" i="6" l="1"/>
  <c r="C10" i="6"/>
  <c r="E10" i="6" s="1"/>
  <c r="B9" i="6"/>
  <c r="H11" i="6" l="1"/>
  <c r="D10" i="6"/>
  <c r="F10" i="6" s="1"/>
  <c r="G10" i="6" s="1"/>
  <c r="H10" i="6" s="1"/>
  <c r="P9" i="12"/>
  <c r="C9" i="6"/>
  <c r="D9" i="6" s="1"/>
  <c r="B8" i="6"/>
  <c r="E9" i="6" l="1"/>
  <c r="P8" i="12"/>
  <c r="F9" i="6"/>
  <c r="G9" i="6" s="1"/>
  <c r="H9" i="6" s="1"/>
  <c r="C8" i="6"/>
  <c r="E8" i="6" s="1"/>
  <c r="D8" i="6" l="1"/>
  <c r="P5" i="12"/>
  <c r="A6" i="12"/>
  <c r="F8" i="6" l="1"/>
  <c r="G8" i="6" s="1"/>
  <c r="H8" i="6" s="1"/>
  <c r="A7" i="6"/>
  <c r="A6" i="6"/>
  <c r="B7" i="6" l="1"/>
  <c r="P7" i="12" l="1"/>
  <c r="C7" i="6"/>
  <c r="E7" i="6" s="1"/>
  <c r="D7" i="6" l="1"/>
  <c r="F7" i="6" s="1"/>
  <c r="G7" i="6" s="1"/>
  <c r="H7" i="6" s="1"/>
  <c r="A5" i="12" l="1"/>
  <c r="A5" i="6"/>
  <c r="B6" i="6" l="1"/>
  <c r="C6" i="6" l="1"/>
  <c r="E6" i="6" s="1"/>
  <c r="D6" i="6" l="1"/>
  <c r="F6" i="6" s="1"/>
  <c r="G6" i="6" s="1"/>
  <c r="H6" i="6" s="1"/>
  <c r="N42" i="5" l="1"/>
  <c r="M12" i="5"/>
  <c r="K18" i="5"/>
  <c r="L61" i="5"/>
  <c r="K60" i="5"/>
  <c r="P40" i="5"/>
  <c r="P15" i="5"/>
  <c r="P21" i="5"/>
  <c r="P8" i="5"/>
  <c r="M45" i="5"/>
  <c r="M23" i="5"/>
  <c r="M30" i="5"/>
  <c r="M26" i="5"/>
  <c r="M36" i="5"/>
  <c r="M32" i="5"/>
  <c r="M33" i="5"/>
  <c r="M10" i="5"/>
  <c r="M7" i="5"/>
  <c r="L44" i="5"/>
  <c r="L41" i="5"/>
  <c r="L35" i="5"/>
  <c r="L19" i="5"/>
  <c r="K54" i="5"/>
  <c r="K43" i="5"/>
  <c r="K31" i="5"/>
  <c r="K22" i="5"/>
  <c r="K20" i="5"/>
  <c r="K13" i="5"/>
  <c r="O55" i="5"/>
  <c r="K62" i="5" l="1"/>
  <c r="M63" i="5"/>
  <c r="O63" i="5"/>
  <c r="N63" i="5"/>
  <c r="L63" i="5"/>
  <c r="P62" i="5"/>
  <c r="H63" i="5"/>
  <c r="O62" i="5"/>
  <c r="P63" i="5"/>
  <c r="K63" i="5"/>
  <c r="L62" i="5"/>
  <c r="M62" i="5"/>
  <c r="N62" i="5"/>
  <c r="I62" i="5"/>
  <c r="H62" i="5"/>
  <c r="B5" i="6" s="1"/>
  <c r="B63" i="6" s="1"/>
  <c r="J63" i="5" l="1"/>
  <c r="C5" i="6"/>
  <c r="I63" i="5"/>
  <c r="E5" i="6" l="1"/>
  <c r="C63" i="6"/>
  <c r="D5" i="6"/>
  <c r="F5" i="6" l="1"/>
  <c r="D63" i="6"/>
  <c r="G5" i="6" l="1"/>
  <c r="F63" i="6"/>
  <c r="H5" i="6" l="1"/>
  <c r="G63" i="6"/>
  <c r="B62" i="5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tc={FF568729-9F07-BA4C-876B-B261F87137FD}</author>
    <author>tc={5F54F1D8-192B-E84C-A043-6348419A764A}</author>
  </authors>
  <commentList>
    <comment ref="H4" authorId="0" shapeId="0" xr:uid="{FF568729-9F07-BA4C-876B-B261F87137FD}">
      <text>
        <t>[Threaded comment]
Your version of Excel allows you to read this threaded comment; however, any edits to it will get removed if the file is opened in a newer version of Excel. Learn more: https://go.microsoft.com/fwlink/?linkid=870924
Comment:
    Bank account</t>
      </text>
    </comment>
    <comment ref="K16" authorId="1" shapeId="0" xr:uid="{5F54F1D8-192B-E84C-A043-6348419A764A}">
      <text>
        <t>[Threaded comment]
Your version of Excel allows you to read this threaded comment; however, any edits to it will get removed if the file is opened in a newer version of Excel. Learn more: https://go.microsoft.com/fwlink/?linkid=870924
Comment:
    Paid $5 extra for Carly - this amount was discounted in the following week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tc={97C8A1AC-D01A-480D-B260-9BA23C3925CA}</author>
    <author>tc={A55A9451-8AB8-491E-9B51-8C5D8F36A9AE}</author>
  </authors>
  <commentList>
    <comment ref="B4" authorId="0" shapeId="0" xr:uid="{97C8A1AC-D01A-480D-B260-9BA23C3925CA}">
      <text>
        <t>[Threaded comment]
Your version of Excel allows you to read this threaded comment; however, any edits to it will get removed if the file is opened in a newer version of Excel. Learn more: https://go.microsoft.com/fwlink/?linkid=870924
Comment:
    To be received via bank transfer excl GST</t>
      </text>
    </comment>
    <comment ref="C4" authorId="1" shapeId="0" xr:uid="{A55A9451-8AB8-491E-9B51-8C5D8F36A9AE}">
      <text>
        <t>[Threaded comment]
Your version of Excel allows you to read this threaded comment; however, any edits to it will get removed if the file is opened in a newer version of Excel. Learn more: https://go.microsoft.com/fwlink/?linkid=870924
Comment:
    Just the declarable staffs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tc={CA19EC3E-A8A5-A34C-9F1E-9F67D2481293}</author>
    <author>tc={1CFC22F8-1D01-394A-AB51-9B1CFB758967}</author>
    <author>tc={4D7D90A3-879C-DF4C-9E9A-5EC99355CE26}</author>
    <author>tc={45C2556D-D015-2B4E-B169-58D75F78B43E}</author>
    <author>tc={1E678E47-CA57-8D40-B65F-F890FB354B6E}</author>
    <author>tc={0BEE56B0-0C08-2A46-9033-A4FE5D1CD0CA}</author>
    <author>tc={13CCC989-A59C-9E44-AB99-3B09B1A83843}</author>
    <author>tc={B5EBD29E-C5FD-EC4E-94B6-080569A3901C}</author>
    <author>tc={7E0B02C8-9C93-C74B-A54D-09531FD082CB}</author>
    <author>tc={A79D5BA1-F44F-F548-BDA1-1E567D1F4FA0}</author>
    <author>tc={8BAC879B-2D57-4043-BE16-E60DE130155C}</author>
    <author>tc={DCA17CA9-90C6-E14A-BED9-A9B244977696}</author>
    <author>tc={EA3FB060-4ED6-1246-9DE9-A6C75D30C9D1}</author>
    <author>tc={98955504-1B01-D740-B4B2-21BD25B08717}</author>
    <author>tc={A6A3DF00-51F7-C34A-9E27-4873F169FC82}</author>
    <author>tc={EA8270C1-18C3-304C-ACC5-C686D7EB750B}</author>
  </authors>
  <commentList>
    <comment ref="C7" authorId="0" shapeId="0" xr:uid="{CA19EC3E-A8A5-A34C-9F1E-9F67D2481293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Insurance Included
</t>
      </text>
    </comment>
    <comment ref="C11" authorId="1" shapeId="0" xr:uid="{1CFC22F8-1D01-394A-AB51-9B1CFB758967}">
      <text>
        <t>[Threaded comment]
Your version of Excel allows you to read this threaded comment; however, any edits to it will get removed if the file is opened in a newer version of Excel. Learn more: https://go.microsoft.com/fwlink/?linkid=870924
Comment:
    Insurance for Tom and Felix Included
Reply:
    Insurance for Tom and Felix included.
Reply:
    Insurance for Tom and Felix Included
Reply:
    Insurance for Tom and Felix included.</t>
      </text>
    </comment>
    <comment ref="E15" authorId="2" shapeId="0" xr:uid="{4D7D90A3-879C-DF4C-9E9A-5EC99355CE26}">
      <text>
        <t>[Threaded comment]
Your version of Excel allows you to read this threaded comment; however, any edits to it will get removed if the file is opened in a newer version of Excel. Learn more: https://go.microsoft.com/fwlink/?linkid=870924
Comment:
    Advanced payment, discount in the next payments.</t>
      </text>
    </comment>
    <comment ref="C16" authorId="3" shapeId="0" xr:uid="{45C2556D-D015-2B4E-B169-58D75F78B43E}">
      <text>
        <t>[Threaded comment]
Your version of Excel allows you to read this threaded comment; however, any edits to it will get removed if the file is opened in a newer version of Excel. Learn more: https://go.microsoft.com/fwlink/?linkid=870924
Comment:
    Paid Felix’s insurance</t>
      </text>
    </comment>
    <comment ref="E16" authorId="4" shapeId="0" xr:uid="{1E678E47-CA57-8D40-B65F-F890FB354B6E}">
      <text>
        <t>[Threaded comment]
Your version of Excel allows you to read this threaded comment; however, any edits to it will get removed if the file is opened in a newer version of Excel. Learn more: https://go.microsoft.com/fwlink/?linkid=870924
Comment:
    Discounted $100 from the advanced payment. Credit of $200 still.</t>
      </text>
    </comment>
    <comment ref="E17" authorId="5" shapeId="0" xr:uid="{0BEE56B0-0C08-2A46-9033-A4FE5D1CD0CA}">
      <text>
        <t>[Threaded comment]
Your version of Excel allows you to read this threaded comment; however, any edits to it will get removed if the file is opened in a newer version of Excel. Learn more: https://go.microsoft.com/fwlink/?linkid=870924
Comment:
    Discounted $100 from the advanced payment. Credit of $100 still.</t>
      </text>
    </comment>
    <comment ref="E18" authorId="6" shapeId="0" xr:uid="{13CCC989-A59C-9E44-AB99-3B09B1A83843}">
      <text>
        <t>[Threaded comment]
Your version of Excel allows you to read this threaded comment; however, any edits to it will get removed if the file is opened in a newer version of Excel. Learn more: https://go.microsoft.com/fwlink/?linkid=870924
Comment:
    Discounted $100 from the advanced payment. Credit of $00.00.</t>
      </text>
    </comment>
    <comment ref="E22" authorId="7" shapeId="0" xr:uid="{B5EBD29E-C5FD-EC4E-94B6-080569A3901C}">
      <text>
        <t>[Threaded comment]
Your version of Excel allows you to read this threaded comment; however, any edits to it will get removed if the file is opened in a newer version of Excel. Learn more: https://go.microsoft.com/fwlink/?linkid=870924
Comment:
    I paid 120 in advance. Discount $50 today.
Reply:
    Advanced payment of $120. Discounted $50 this week</t>
      </text>
    </comment>
    <comment ref="E23" authorId="8" shapeId="0" xr:uid="{7E0B02C8-9C93-C74B-A54D-09531FD082CB}">
      <text>
        <t>[Threaded comment]
Your version of Excel allows you to read this threaded comment; however, any edits to it will get removed if the file is opened in a newer version of Excel. Learn more: https://go.microsoft.com/fwlink/?linkid=870924
Comment:
    Discount of $100, from the extra 850 paid in advance.</t>
      </text>
    </comment>
    <comment ref="E24" authorId="9" shapeId="0" xr:uid="{A79D5BA1-F44F-F548-BDA1-1E567D1F4FA0}">
      <text>
        <t>[Threaded comment]
Your version of Excel allows you to read this threaded comment; however, any edits to it will get removed if the file is opened in a newer version of Excel. Learn more: https://go.microsoft.com/fwlink/?linkid=870924
Comment:
    Discount of $100,+$20 from the extra 850? +60 paid in advance.</t>
      </text>
    </comment>
    <comment ref="E25" authorId="10" shapeId="0" xr:uid="{8BAC879B-2D57-4043-BE16-E60DE130155C}">
      <text>
        <t>[Threaded comment]
Your version of Excel allows you to read this threaded comment; however, any edits to it will get removed if the file is opened in a newer version of Excel. Learn more: https://go.microsoft.com/fwlink/?linkid=870924
Comment:
    Discount of $100,+$20 from the extra 850? +60 paid in advance.</t>
      </text>
    </comment>
    <comment ref="E26" authorId="11" shapeId="0" xr:uid="{DCA17CA9-90C6-E14A-BED9-A9B244977696}">
      <text>
        <t>[Threaded comment]
Your version of Excel allows you to read this threaded comment; however, any edits to it will get removed if the file is opened in a newer version of Excel. Learn more: https://go.microsoft.com/fwlink/?linkid=870924
Comment:
    Haven’t discounted anything this week as Taylah-rose birthday.</t>
      </text>
    </comment>
    <comment ref="E29" authorId="12" shapeId="0" xr:uid="{EA3FB060-4ED6-1246-9DE9-A6C75D30C9D1}">
      <text>
        <t>[Threaded comment]
Your version of Excel allows you to read this threaded comment; however, any edits to it will get removed if the file is opened in a newer version of Excel. Learn more: https://go.microsoft.com/fwlink/?linkid=870924
Comment:
    Discounted $100.</t>
      </text>
    </comment>
    <comment ref="E30" authorId="13" shapeId="0" xr:uid="{98955504-1B01-D740-B4B2-21BD25B08717}">
      <text>
        <t>[Threaded comment]
Your version of Excel allows you to read this threaded comment; however, any edits to it will get removed if the file is opened in a newer version of Excel. Learn more: https://go.microsoft.com/fwlink/?linkid=870924
Comment:
    Discount $100.</t>
      </text>
    </comment>
    <comment ref="C32" authorId="14" shapeId="0" xr:uid="{A6A3DF00-51F7-C34A-9E27-4873F169FC82}">
      <text>
        <t>[Threaded comment]
Your version of Excel allows you to read this threaded comment; however, any edits to it will get removed if the file is opened in a newer version of Excel. Learn more: https://go.microsoft.com/fwlink/?linkid=870924
Comment:
    $30 was missed on the week 25/12.</t>
      </text>
    </comment>
    <comment ref="E32" authorId="15" shapeId="0" xr:uid="{EA8270C1-18C3-304C-ACC5-C686D7EB750B}">
      <text>
        <t>[Threaded comment]
Your version of Excel allows you to read this threaded comment; however, any edits to it will get removed if the file is opened in a newer version of Excel. Learn more: https://go.microsoft.com/fwlink/?linkid=870924
Comment:
    Discounted $100.00</t>
      </text>
    </comment>
  </commentList>
</comments>
</file>

<file path=xl/sharedStrings.xml><?xml version="1.0" encoding="utf-8"?>
<sst xmlns="http://schemas.openxmlformats.org/spreadsheetml/2006/main" count="1760" uniqueCount="288">
  <si>
    <t>Date</t>
  </si>
  <si>
    <t>-</t>
  </si>
  <si>
    <t>Client Name</t>
  </si>
  <si>
    <t>Usual time (h)</t>
  </si>
  <si>
    <t>Lyndell</t>
  </si>
  <si>
    <t>Jessica Sargent</t>
  </si>
  <si>
    <t>One-off</t>
  </si>
  <si>
    <t>Extras</t>
  </si>
  <si>
    <t>Discounts</t>
  </si>
  <si>
    <t>Total</t>
  </si>
  <si>
    <t xml:space="preserve">Services sold </t>
  </si>
  <si>
    <t>Staff service</t>
  </si>
  <si>
    <t>Income</t>
  </si>
  <si>
    <t>Profit percentage</t>
  </si>
  <si>
    <t>Tax</t>
  </si>
  <si>
    <t>Gross Profit</t>
  </si>
  <si>
    <t>New Clients</t>
  </si>
  <si>
    <t>Obs</t>
  </si>
  <si>
    <t>GST</t>
  </si>
  <si>
    <t>Time</t>
  </si>
  <si>
    <t>Price GST included</t>
  </si>
  <si>
    <t>Chris</t>
  </si>
  <si>
    <t>Maria</t>
  </si>
  <si>
    <t>Client pymt</t>
  </si>
  <si>
    <t>Client pymt. status</t>
  </si>
  <si>
    <t>Jeanie</t>
  </si>
  <si>
    <t>Claudia</t>
  </si>
  <si>
    <t>Vanessa</t>
  </si>
  <si>
    <t>Alfredo</t>
  </si>
  <si>
    <t>The Link</t>
  </si>
  <si>
    <t>Amanda Spong</t>
  </si>
  <si>
    <t>Emma Holman</t>
  </si>
  <si>
    <t>Gina Mercer</t>
  </si>
  <si>
    <t>Kate Delphin</t>
  </si>
  <si>
    <t>Sophie Baran</t>
  </si>
  <si>
    <t>Alex McKeown</t>
  </si>
  <si>
    <t>Daniel Jonas</t>
  </si>
  <si>
    <t>Marita Jones</t>
  </si>
  <si>
    <t>End of Lease</t>
  </si>
  <si>
    <t>Kate Wright</t>
  </si>
  <si>
    <t>Nº of jobs</t>
  </si>
  <si>
    <t>Staff Weekly Payments</t>
  </si>
  <si>
    <t>Week worked</t>
  </si>
  <si>
    <t>Payment date</t>
  </si>
  <si>
    <t>Flavia</t>
  </si>
  <si>
    <t>Alba</t>
  </si>
  <si>
    <t>Sarah Jane Walker</t>
  </si>
  <si>
    <t>Vinicius</t>
  </si>
  <si>
    <t>Sonia Weidenbach</t>
  </si>
  <si>
    <t>End: 30/06/2023</t>
  </si>
  <si>
    <t>Weekly Finances - Fiscal year 2022 -2023</t>
  </si>
  <si>
    <t>1- Lewis</t>
  </si>
  <si>
    <t>Owen</t>
  </si>
  <si>
    <t>Julie Efron</t>
  </si>
  <si>
    <t xml:space="preserve">4 - Vanessa, Owen, Claire, Ahyoung </t>
  </si>
  <si>
    <t>3 -  Julie Efron, Jenny, Jason</t>
  </si>
  <si>
    <t>Sarah Mackie</t>
  </si>
  <si>
    <t>2 - Shani (Kingston), Wanda</t>
  </si>
  <si>
    <t>2 - Jaclyn, Kirsten</t>
  </si>
  <si>
    <t>3- Jemma, Mahli, Jessica Sargent</t>
  </si>
  <si>
    <t>2 - Jana (end of lease), Sarah Black</t>
  </si>
  <si>
    <t>Sarah Black</t>
  </si>
  <si>
    <t>Priscila</t>
  </si>
  <si>
    <t>2- Kirsty, Kim</t>
  </si>
  <si>
    <t>1 - Jenny</t>
  </si>
  <si>
    <t>#</t>
  </si>
  <si>
    <t>Molly</t>
  </si>
  <si>
    <t>Kirsty Jentsch</t>
  </si>
  <si>
    <t>2- Lubomira, Arua</t>
  </si>
  <si>
    <t>2 - Isabel, Millie</t>
  </si>
  <si>
    <t>1- Rachel</t>
  </si>
  <si>
    <t>2- Katy, Jenny</t>
  </si>
  <si>
    <t>Lais</t>
  </si>
  <si>
    <t>Katy Nesbitt</t>
  </si>
  <si>
    <t>2 - Caroline, Hayley</t>
  </si>
  <si>
    <t>2 - Kattie Emms, Owen (end of lease)</t>
  </si>
  <si>
    <t>Carly Robson</t>
  </si>
  <si>
    <t>2 - Belinda, Jenny</t>
  </si>
  <si>
    <t>Eddy</t>
  </si>
  <si>
    <t>1 - Rachael</t>
  </si>
  <si>
    <t>Service date</t>
  </si>
  <si>
    <t>Week</t>
  </si>
  <si>
    <t>ok</t>
  </si>
  <si>
    <t>Tax Invoice</t>
  </si>
  <si>
    <t>All Tidy Professional Cleaning</t>
  </si>
  <si>
    <t>INVOICE #</t>
  </si>
  <si>
    <t>ABN 87268780124</t>
  </si>
  <si>
    <t>alltidy@alltidy.com.au</t>
  </si>
  <si>
    <t>DATE</t>
  </si>
  <si>
    <t>INVOICE DUE DATE</t>
  </si>
  <si>
    <t>BILL TO:</t>
  </si>
  <si>
    <t>4/39 Regent Street, Sandy Bay TAS</t>
  </si>
  <si>
    <t>DESCRIPTION</t>
  </si>
  <si>
    <t>UNIT COST</t>
  </si>
  <si>
    <t>QUANTITY</t>
  </si>
  <si>
    <t>AMOUNT</t>
  </si>
  <si>
    <t>General House Cleaning Service - fortnightly</t>
  </si>
  <si>
    <t>SUB-TOTAL</t>
  </si>
  <si>
    <t>TOTAL GST 10%</t>
  </si>
  <si>
    <t>DISCOUNT</t>
  </si>
  <si>
    <t>TOTAL</t>
  </si>
  <si>
    <t>Thank you for your business.</t>
  </si>
  <si>
    <t>Bank details</t>
  </si>
  <si>
    <t>AMOUNT DUE</t>
  </si>
  <si>
    <t>Account Name: Greice Calloni</t>
  </si>
  <si>
    <t>Bank: Commonwealth</t>
  </si>
  <si>
    <t>BSB: 06 2028</t>
  </si>
  <si>
    <t>Account number: 1186 8378</t>
  </si>
  <si>
    <t>Angie Sue, C F Holdings Pty Ltd</t>
  </si>
  <si>
    <t>534 South Arm Road, Lauderdale TAS 7021</t>
  </si>
  <si>
    <t xml:space="preserve">UNIT COST </t>
  </si>
  <si>
    <t xml:space="preserve">QUANTITY  </t>
  </si>
  <si>
    <t>Commecial Cleaning Service</t>
  </si>
  <si>
    <t>GST TOTAL</t>
  </si>
  <si>
    <t>Ref: Invoice number or your name</t>
  </si>
  <si>
    <t>2/18 Boa vista Rd, New Town TAS 7008</t>
  </si>
  <si>
    <t>AMOUNT ($)</t>
  </si>
  <si>
    <t>General House Cleaning Service</t>
  </si>
  <si>
    <t>Ref: Your name or invoice number</t>
  </si>
  <si>
    <t>Claire Haas</t>
  </si>
  <si>
    <t>20 Nursery Ct, Lenah Valley TAS 7008, Australia</t>
  </si>
  <si>
    <t>AMOUNT (AUD)</t>
  </si>
  <si>
    <t>General House Cleaning Service - Regular</t>
  </si>
  <si>
    <t>Eleanor Robb</t>
  </si>
  <si>
    <t>21 Tunah St, Howrah - TAS 7018</t>
  </si>
  <si>
    <t>TOTAL GST</t>
  </si>
  <si>
    <t xml:space="preserve"> </t>
  </si>
  <si>
    <t>34 Douglas St, New Town TAS 7008</t>
  </si>
  <si>
    <t>18 Shepherd St, Sandy Bay TAS 7005</t>
  </si>
  <si>
    <t xml:space="preserve">QUANTITY </t>
  </si>
  <si>
    <t>General House Cleaning Service - Fortnightly</t>
  </si>
  <si>
    <t>Nigel Grey</t>
  </si>
  <si>
    <t>95a Derwent Ave, Lindisfarne TAS</t>
  </si>
  <si>
    <t>Send to</t>
  </si>
  <si>
    <t>nigeljgrey@gmail.com</t>
  </si>
  <si>
    <t>Unit 11 / 10 Denison St, Kingston TAS 7050, Australia</t>
  </si>
  <si>
    <t>0402 492 369</t>
  </si>
  <si>
    <t>Residential Cleaning Services</t>
  </si>
  <si>
    <t>4/26 Newlands Avenue, Lenah Valley TAS</t>
  </si>
  <si>
    <t>UNIT PRICE</t>
  </si>
  <si>
    <t>Domestic Cleaning Service - Regular</t>
  </si>
  <si>
    <t>Payment method: transfer</t>
  </si>
  <si>
    <t>Ref.: Your invoice number or name</t>
  </si>
  <si>
    <t>102 Molle St, West Hobart TAS 7000, Australia</t>
  </si>
  <si>
    <t>General Domestic Cleaning Service -  Regular</t>
  </si>
  <si>
    <t>439A Sandy Bay Rd, Sandy Bay TAS 7005</t>
  </si>
  <si>
    <t>House General Cleaning Service - Fortnightly</t>
  </si>
  <si>
    <t>0406 821 961</t>
  </si>
  <si>
    <t>2 Cleburne St, Kingston TAS 7050</t>
  </si>
  <si>
    <t>anita@happistudios.com.au</t>
  </si>
  <si>
    <t>Anita Nielsen</t>
  </si>
  <si>
    <t>23 Karingal Ct, Taroona TAS 7053</t>
  </si>
  <si>
    <t>Angie Kyle</t>
  </si>
  <si>
    <t>17 Proctors Rd, Dynnyrne TAS 7005, Australia</t>
  </si>
  <si>
    <t>General House Cleaning Service - Weekly</t>
  </si>
  <si>
    <t>Benjamin Hope</t>
  </si>
  <si>
    <t>71 Brent Street, Glenorchy TAS 7010</t>
  </si>
  <si>
    <t>Fee!</t>
  </si>
  <si>
    <t>2/40 Rosehill Cres, Lenah Valley TAS 7008</t>
  </si>
  <si>
    <t>David Parsell</t>
  </si>
  <si>
    <t>1 Lowanna Rd, Lindisfarne TAS 7015</t>
  </si>
  <si>
    <t xml:space="preserve"> Jacqueline Liffiton</t>
  </si>
  <si>
    <t>11 Raynors Road, Midway Point TAS 7171</t>
  </si>
  <si>
    <t>Jenni Mandersloot</t>
  </si>
  <si>
    <t>16 Ingram St, South Hobart TAS 7004</t>
  </si>
  <si>
    <t>Kerrie Swadling</t>
  </si>
  <si>
    <t>27A Rialannah Rd, Mount Nelson TAS 7007</t>
  </si>
  <si>
    <t xml:space="preserve">AMOUNT </t>
  </si>
  <si>
    <t>House Cleaning Service - Regular</t>
  </si>
  <si>
    <t>Cancellation fee $30</t>
  </si>
  <si>
    <t>Krystal Smith</t>
  </si>
  <si>
    <t>8 Thistle Down, Huntingfield TAS 7055</t>
  </si>
  <si>
    <t>Regular House Cleaning Service</t>
  </si>
  <si>
    <t>Cancelleation fee - inadequade notice of cancellation</t>
  </si>
  <si>
    <t>Lia Freestone</t>
  </si>
  <si>
    <t>97 Mt Rumney Rd, Mount Rumney TAS 7170</t>
  </si>
  <si>
    <t>Maria Matsouris</t>
  </si>
  <si>
    <t>57 Duke Street, Sandy Bay, TAS 7005</t>
  </si>
  <si>
    <t>General Residential Cleaning Service - Regular</t>
  </si>
  <si>
    <t>47 Hillcrest Rd, Tolmans Hill,  TAS 7007</t>
  </si>
  <si>
    <t>accounts@objoin.com.au</t>
  </si>
  <si>
    <t>O'Brien Joinery</t>
  </si>
  <si>
    <t>Cleaning services</t>
  </si>
  <si>
    <t xml:space="preserve">Amber Sherrin </t>
  </si>
  <si>
    <t>150 Acton Road Acton Park, TAS 7170</t>
  </si>
  <si>
    <t>Cameron Crawford</t>
  </si>
  <si>
    <t>87 Hillcrest Rd, Tolmans Hill TAS 7007</t>
  </si>
  <si>
    <t>Domestic Cleaning Service - Fortnightly</t>
  </si>
  <si>
    <t>Caroline McLeod</t>
  </si>
  <si>
    <t>39 Liverpool Crescent, West Hobart, TAS 7000</t>
  </si>
  <si>
    <t>AMOUNT DUE (AUD)</t>
  </si>
  <si>
    <t>BSB: 062 028</t>
  </si>
  <si>
    <t>10 Ferndene Ave, South Hobart TAS 7004</t>
  </si>
  <si>
    <t>103 Mockridge Rd, Clarendon Vale TAS 7019</t>
  </si>
  <si>
    <t>Kieran Siedler</t>
  </si>
  <si>
    <t>4/69 Malunna Road Lindisfarne TAS 7015</t>
  </si>
  <si>
    <t xml:space="preserve">admin@scorpionbusiness.com.au </t>
  </si>
  <si>
    <t>Ms Lucy Mercer Mapstone</t>
  </si>
  <si>
    <t>Unit 2, 362 Davey St, South Hobart TAS</t>
  </si>
  <si>
    <t>108 Creek Road, New Town, Tas 7008</t>
  </si>
  <si>
    <t>Julie Moltmann</t>
  </si>
  <si>
    <t>60 Lochner St, West Hobart TAS 7000</t>
  </si>
  <si>
    <t>Send invoices to</t>
  </si>
  <si>
    <t>Tim.moltmann@gmail.com</t>
  </si>
  <si>
    <t>15 Louden Street, South Hobart TAS 7004</t>
  </si>
  <si>
    <t>Harley Gorman</t>
  </si>
  <si>
    <t>13 Marana Avenue, Rose Bay, Tas 7015</t>
  </si>
  <si>
    <t>Jaclyn Parker</t>
  </si>
  <si>
    <t>83 Bayview Rd, Lauderdale TAS 7021</t>
  </si>
  <si>
    <t xml:space="preserve">GST   </t>
  </si>
  <si>
    <t>38 St Helens St, Lindisfarne TAS 7015</t>
  </si>
  <si>
    <t>Kirsten Free</t>
  </si>
  <si>
    <t>877 Oceana Drive, Tranmere Tas 7018</t>
  </si>
  <si>
    <t>General House Cleaning</t>
  </si>
  <si>
    <t>14 Roslyn Ave, Kingston Beach TAS 7050</t>
  </si>
  <si>
    <t>Rachael Mohamad</t>
  </si>
  <si>
    <t>17 Lalwynia Road Mount Nelson TAS 7007</t>
  </si>
  <si>
    <t>Ref.: Your invoice number</t>
  </si>
  <si>
    <t>Rachel Freeman</t>
  </si>
  <si>
    <t>1/75 Giblin Street, Lenah Valley  TAS</t>
  </si>
  <si>
    <t>UPLOAD invoice HERE!</t>
  </si>
  <si>
    <t>https://connect.dva.gov.au/provider/upload</t>
  </si>
  <si>
    <t>4/82 Clare Street, New Town, Tas 7008</t>
  </si>
  <si>
    <t>Adam Parker</t>
  </si>
  <si>
    <t>DVA File Number: VSM19765</t>
  </si>
  <si>
    <t xml:space="preserve">Claim Reference: REH2010396 </t>
  </si>
  <si>
    <t>Transaction Reference Number (TRN): R4884H3952</t>
  </si>
  <si>
    <t>Domestic Cleaning Service ( General indoor domestic cleaning)  at 12 Croesus Ct, Lindisfarne TAS 7015, Australia</t>
  </si>
  <si>
    <t>Remittance to invoice@alltidy.com.au</t>
  </si>
  <si>
    <t xml:space="preserve">Your Upload Reference Number is: </t>
  </si>
  <si>
    <t>R4884H3952-20221008-003501</t>
  </si>
  <si>
    <t>R4884H3952-20221014-230622.</t>
  </si>
  <si>
    <t>R4884H3952-20221029-030327</t>
  </si>
  <si>
    <t>R4884H3952-20221104-083342.</t>
  </si>
  <si>
    <t>R4884H3952-20221112-105956.</t>
  </si>
  <si>
    <t>R4884H3952-20221119-064704</t>
  </si>
  <si>
    <t xml:space="preserve">R4884H3952-20221126-062903. </t>
  </si>
  <si>
    <t>R4884H3952-20221203-081323</t>
  </si>
  <si>
    <t>R4884H3952-20221210-053846.</t>
  </si>
  <si>
    <t xml:space="preserve"> R4884H3952-20221219-073835</t>
  </si>
  <si>
    <t xml:space="preserve">R4884H3952-20230107-011800. </t>
  </si>
  <si>
    <t>R4884H3952-20230114-081125</t>
  </si>
  <si>
    <t xml:space="preserve">R4884H3952-20230121-045833. </t>
  </si>
  <si>
    <t>Alexander Zalotockyj</t>
  </si>
  <si>
    <t>21 Forster Street, New Town, TAS 7008</t>
  </si>
  <si>
    <t>Annette Palmer</t>
  </si>
  <si>
    <t>17 Regatta Place, Tranmere TAS 7018</t>
  </si>
  <si>
    <t>4 Cottage Road, Kingston TAS 7050</t>
  </si>
  <si>
    <t xml:space="preserve">Olivia Jinadasa </t>
  </si>
  <si>
    <t>7 Kingsgate Cir, Huntingfield TAS 7055</t>
  </si>
  <si>
    <t>General House Cleaning Service + oven cleaning</t>
  </si>
  <si>
    <t>Tip to Jeanie</t>
  </si>
  <si>
    <t>5 Cazaly Dr, Chigwell TAS 7011, Australia</t>
  </si>
  <si>
    <t>Shani Hutchison</t>
  </si>
  <si>
    <t>Unit 3/ 64 Molle street, Hobart 7000</t>
  </si>
  <si>
    <t xml:space="preserve">General House Cleaning Service </t>
  </si>
  <si>
    <t>- Cleaning supplies Vanessa</t>
  </si>
  <si>
    <t>The Link Youth Health Service</t>
  </si>
  <si>
    <t>57 Liverpool St, Hobart TAS 7000</t>
  </si>
  <si>
    <t>Office general cleaning service</t>
  </si>
  <si>
    <t>Ahyoung Park</t>
  </si>
  <si>
    <t>52-54 Queen St, Sandy Bay TAS 7005</t>
  </si>
  <si>
    <t>QUANTITY (hrs)</t>
  </si>
  <si>
    <t>End of Lease Cleaning Service at 52-54 Queen St, Sandy Bay TAS 7005</t>
  </si>
  <si>
    <t>Hayley Mcculloch</t>
  </si>
  <si>
    <t>34 Summerleas Rd, Kingston TAS 7050</t>
  </si>
  <si>
    <t>House Cleaning Service - once-off</t>
  </si>
  <si>
    <t>GM</t>
  </si>
  <si>
    <t>Kathryn Nigel</t>
  </si>
  <si>
    <t>Angie Sue</t>
  </si>
  <si>
    <t>Lucy Mercer Mapstone</t>
  </si>
  <si>
    <t>Invoice number</t>
  </si>
  <si>
    <t>Jacqueline Liffiton</t>
  </si>
  <si>
    <t>FB</t>
  </si>
  <si>
    <t>rua 1</t>
  </si>
  <si>
    <t>Filipe Barcellos</t>
  </si>
  <si>
    <t>EG</t>
  </si>
  <si>
    <t>OW</t>
  </si>
  <si>
    <t>Greice Calloni</t>
  </si>
  <si>
    <t>GC</t>
  </si>
  <si>
    <t>ND</t>
  </si>
  <si>
    <t>27/7/1989</t>
  </si>
  <si>
    <t>Rua das Peras 19</t>
  </si>
  <si>
    <t>Hourly Rate</t>
  </si>
  <si>
    <t>Invoice Date</t>
  </si>
  <si>
    <t>27/07/2023</t>
  </si>
  <si>
    <t>Janet Parsell</t>
  </si>
  <si>
    <t>Sarah Walker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</si>
</sst>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4" formatCode="_-&quot;R$&quot;\ * #,##0.00_-;\-&quot;R$&quot;\ * #,##0.00_-;_-&quot;R$&quot;\ * &quot;-&quot;??_-;_-@_-"/>
    <numFmt numFmtId="164" formatCode="_-[$$-409]* #,##0.00_ ;_-[$$-409]* \-#,##0.00\ ;_-[$$-409]* &quot;-&quot;??_ ;_-@_ "/>
    <numFmt numFmtId="165" formatCode="0.0"/>
    <numFmt numFmtId="166" formatCode="0.0%"/>
    <numFmt numFmtId="167" formatCode="_-[$$-C09]* #,##0.00_-;\-[$$-C09]* #,##0.00_-;_-[$$-C09]* &quot;-&quot;??_-;_-@_-"/>
    <numFmt numFmtId="168" formatCode="&quot;$&quot;#,##0.00"/>
    <numFmt numFmtId="169" formatCode="_-[$AUD]\ * #,##0.00_-;\-[$AUD]\ * #,##0.00_-;_-[$AUD]\ * &quot;-&quot;??_-;_-@_-"/>
    <numFmt numFmtId="170" formatCode="0.000"/>
    <numFmt numFmtId="171" formatCode="_-[$R$-416]\ * #,##0.00_-;\-[$R$-416]\ * #,##0.00_-;_-[$R$-416]\ * &quot;-&quot;??_-;_-@_-"/>
    <numFmt numFmtId="172" formatCode="[$$-C09]#,##0.00"/>
  </numFmts>
  <fonts count="5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color rgb="FF00B0F0"/>
      <name val="Calibri"/>
      <family val="2"/>
      <scheme val="minor"/>
    </font>
    <font>
      <b/>
      <sz val="16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i/>
      <u/>
      <sz val="16"/>
      <color rgb="FF00B0F0"/>
      <name val="Calibri"/>
      <family val="2"/>
      <scheme val="minor"/>
    </font>
    <font>
      <b/>
      <sz val="12"/>
      <name val="Calibri"/>
      <family val="2"/>
      <scheme val="minor"/>
    </font>
    <font>
      <sz val="11"/>
      <color theme="1"/>
      <name val="Calibri Light"/>
      <family val="2"/>
      <scheme val="major"/>
    </font>
    <font>
      <b/>
      <sz val="18"/>
      <color rgb="FF002060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Arial"/>
      <family val="2"/>
    </font>
    <font>
      <sz val="15"/>
      <color rgb="FF000000"/>
      <name val="Arial"/>
      <family val="2"/>
    </font>
    <font>
      <sz val="10"/>
      <color rgb="FF000000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9"/>
      <name val="Arial"/>
      <family val="2"/>
    </font>
    <font>
      <sz val="36"/>
      <name val="Arial"/>
      <family val="2"/>
    </font>
    <font>
      <b/>
      <sz val="11"/>
      <color rgb="FF000000"/>
      <name val="Arial"/>
      <family val="2"/>
    </font>
    <font>
      <sz val="9"/>
      <color rgb="FF000000"/>
      <name val="Arial"/>
      <family val="2"/>
    </font>
    <font>
      <b/>
      <sz val="12"/>
      <color rgb="FF000000"/>
      <name val="Arial"/>
      <family val="2"/>
    </font>
    <font>
      <b/>
      <i/>
      <sz val="12"/>
      <color rgb="FF000000"/>
      <name val="Times New Roman"/>
      <family val="1"/>
    </font>
    <font>
      <b/>
      <sz val="8"/>
      <color rgb="FF000000"/>
      <name val="Arial"/>
      <family val="2"/>
    </font>
    <font>
      <b/>
      <sz val="8"/>
      <color rgb="FFFFFFFF"/>
      <name val="Arial"/>
      <family val="2"/>
    </font>
    <font>
      <b/>
      <sz val="24"/>
      <color rgb="FFFFFFFF"/>
      <name val="Arial"/>
      <family val="2"/>
    </font>
    <font>
      <sz val="6"/>
      <color rgb="FF434343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2"/>
      <color rgb="FF000000"/>
      <name val="Arial"/>
      <family val="2"/>
    </font>
    <font>
      <u/>
      <sz val="10"/>
      <color theme="10"/>
      <name val="Arial"/>
      <family val="2"/>
    </font>
    <font>
      <b/>
      <sz val="10"/>
      <color rgb="FF000000"/>
      <name val="Arial"/>
      <family val="2"/>
    </font>
    <font>
      <sz val="10.5"/>
      <color rgb="FF000000"/>
      <name val="Arial"/>
      <family val="2"/>
    </font>
    <font>
      <b/>
      <sz val="12"/>
      <color rgb="FF404040"/>
      <name val="Arial"/>
      <family val="2"/>
    </font>
    <font>
      <sz val="10"/>
      <color rgb="FFFF0000"/>
      <name val="Arial"/>
      <family val="2"/>
    </font>
    <font>
      <b/>
      <sz val="9"/>
      <color rgb="FF000000"/>
      <name val="Arial"/>
      <family val="2"/>
    </font>
    <font>
      <sz val="10"/>
      <color theme="5"/>
      <name val="Arial"/>
      <family val="2"/>
    </font>
    <font>
      <sz val="10"/>
      <color rgb="FF00B0F0"/>
      <name val="Arial"/>
      <family val="2"/>
    </font>
    <font>
      <b/>
      <sz val="10"/>
      <color rgb="FFFFFFFF"/>
      <name val="Arial"/>
      <family val="2"/>
    </font>
    <font>
      <sz val="16"/>
      <color rgb="FFFF0000"/>
      <name val="Arial"/>
      <family val="2"/>
    </font>
    <font>
      <sz val="8"/>
      <name val="Calibri"/>
      <family val="2"/>
      <scheme val="minor"/>
    </font>
    <font>
      <sz val="11"/>
      <color theme="1"/>
      <name val="Arial"/>
      <family val="2"/>
    </font>
    <font>
      <sz val="12"/>
      <name val="Arial"/>
      <family val="2"/>
    </font>
    <font>
      <sz val="11"/>
      <color rgb="FF00B0F0"/>
      <name val="Calibri"/>
      <family val="2"/>
      <scheme val="minor"/>
    </font>
    <font>
      <b/>
      <sz val="11"/>
      <color theme="9" tint="0.39997558519241921"/>
      <name val="Calibri"/>
      <family val="2"/>
      <scheme val="minor"/>
    </font>
    <font>
      <b/>
      <sz val="11"/>
      <color theme="1"/>
      <name val="Arial"/>
      <family val="2"/>
    </font>
    <font>
      <i/>
      <sz val="11"/>
      <color theme="1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rgb="FF1F65A6"/>
      </patternFill>
    </fill>
    <fill>
      <patternFill patternType="solid">
        <fgColor theme="0"/>
        <bgColor rgb="FF1F65A6"/>
      </patternFill>
    </fill>
    <fill>
      <patternFill patternType="solid">
        <fgColor theme="4" tint="0.79998168889431442"/>
        <bgColor rgb="FFBBDEF1"/>
      </patternFill>
    </fill>
    <fill>
      <patternFill patternType="solid">
        <fgColor theme="9" tint="0.39997558519241921"/>
        <bgColor rgb="FF1F65A6"/>
      </patternFill>
    </fill>
    <fill>
      <patternFill patternType="solid">
        <fgColor rgb="FFFF0000"/>
        <bgColor indexed="64"/>
      </patternFill>
    </fill>
    <fill>
      <patternFill patternType="solid">
        <fgColor rgb="FFFF4747"/>
        <bgColor indexed="64"/>
      </patternFill>
    </fill>
  </fills>
  <borders count="5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ck">
        <color theme="1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theme="1"/>
      </right>
      <top/>
      <bottom/>
      <diagonal/>
    </border>
    <border>
      <left style="thin">
        <color indexed="64"/>
      </left>
      <right style="thick">
        <color theme="1"/>
      </right>
      <top/>
      <bottom style="medium">
        <color indexed="64"/>
      </bottom>
      <diagonal/>
    </border>
    <border>
      <left/>
      <right style="thick">
        <color theme="1"/>
      </right>
      <top/>
      <bottom/>
      <diagonal/>
    </border>
    <border>
      <left/>
      <right style="thick">
        <color theme="1"/>
      </right>
      <top/>
      <bottom style="medium">
        <color indexed="64"/>
      </bottom>
      <diagonal/>
    </border>
    <border>
      <left style="thin">
        <color indexed="64"/>
      </left>
      <right style="thick">
        <color theme="1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theme="1"/>
      </bottom>
      <diagonal/>
    </border>
    <border>
      <left/>
      <right style="thick">
        <color auto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medium">
        <color indexed="64"/>
      </top>
      <bottom/>
      <diagonal/>
    </border>
    <border>
      <left style="thin">
        <color theme="1"/>
      </left>
      <right style="thin">
        <color theme="1"/>
      </right>
      <top/>
      <bottom/>
      <diagonal/>
    </border>
    <border>
      <left style="thin">
        <color theme="1"/>
      </left>
      <right style="thin">
        <color theme="1"/>
      </right>
      <top/>
      <bottom style="thin">
        <color indexed="64"/>
      </bottom>
      <diagonal/>
    </border>
    <border>
      <left/>
      <right style="thin">
        <color theme="1"/>
      </right>
      <top style="medium">
        <color indexed="64"/>
      </top>
      <bottom style="thin">
        <color indexed="64"/>
      </bottom>
      <diagonal/>
    </border>
    <border>
      <left/>
      <right style="thin">
        <color theme="1"/>
      </right>
      <top style="medium">
        <color indexed="64"/>
      </top>
      <bottom/>
      <diagonal/>
    </border>
    <border>
      <left/>
      <right style="thin">
        <color theme="1"/>
      </right>
      <top/>
      <bottom/>
      <diagonal/>
    </border>
    <border>
      <left style="thin">
        <color indexed="64"/>
      </left>
      <right style="thin">
        <color theme="1"/>
      </right>
      <top style="medium">
        <color indexed="64"/>
      </top>
      <bottom/>
      <diagonal/>
    </border>
    <border>
      <left style="thin">
        <color indexed="64"/>
      </left>
      <right style="thin">
        <color theme="1"/>
      </right>
      <top/>
      <bottom/>
      <diagonal/>
    </border>
    <border>
      <left style="thin">
        <color indexed="64"/>
      </left>
      <right style="thin">
        <color theme="1"/>
      </right>
      <top/>
      <bottom style="medium">
        <color indexed="64"/>
      </bottom>
      <diagonal/>
    </border>
    <border>
      <left style="thin">
        <color theme="1"/>
      </left>
      <right style="thin">
        <color theme="1"/>
      </right>
      <top/>
      <bottom style="medium">
        <color indexed="64"/>
      </bottom>
      <diagonal/>
    </border>
    <border>
      <left/>
      <right style="thin">
        <color theme="1"/>
      </right>
      <top/>
      <bottom style="medium">
        <color indexed="64"/>
      </bottom>
      <diagonal/>
    </border>
    <border>
      <left style="thin">
        <color indexed="64"/>
      </left>
      <right style="thin">
        <color theme="1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0" fontId="25" fillId="0" borderId="0"/>
    <xf numFmtId="9" fontId="25" fillId="0" borderId="0" applyFont="0" applyFill="0" applyBorder="0" applyAlignment="0" applyProtection="0"/>
    <xf numFmtId="0" fontId="42" fillId="0" borderId="0" applyNumberFormat="0" applyFill="0" applyBorder="0" applyAlignment="0" applyProtection="0"/>
  </cellStyleXfs>
  <cellXfs count="318">
    <xf numFmtId="0" fontId="0" fillId="0" borderId="0" xfId="0"/>
    <xf numFmtId="0" fontId="0" fillId="0" borderId="0" xfId="0" applyAlignment="1">
      <alignment horizontal="center"/>
    </xf>
    <xf numFmtId="0" fontId="3" fillId="0" borderId="0" xfId="0" applyFont="1"/>
    <xf numFmtId="164" fontId="0" fillId="0" borderId="0" xfId="0" applyNumberFormat="1"/>
    <xf numFmtId="0" fontId="4" fillId="0" borderId="0" xfId="0" applyFont="1"/>
    <xf numFmtId="9" fontId="0" fillId="0" borderId="0" xfId="1" applyFont="1"/>
    <xf numFmtId="0" fontId="0" fillId="0" borderId="1" xfId="0" applyBorder="1"/>
    <xf numFmtId="0" fontId="5" fillId="0" borderId="1" xfId="0" applyFont="1" applyBorder="1"/>
    <xf numFmtId="0" fontId="2" fillId="0" borderId="1" xfId="0" applyFont="1" applyBorder="1"/>
    <xf numFmtId="0" fontId="0" fillId="0" borderId="13" xfId="0" applyBorder="1"/>
    <xf numFmtId="14" fontId="0" fillId="0" borderId="1" xfId="0" applyNumberFormat="1" applyBorder="1"/>
    <xf numFmtId="164" fontId="0" fillId="0" borderId="1" xfId="0" applyNumberFormat="1" applyBorder="1"/>
    <xf numFmtId="0" fontId="0" fillId="0" borderId="1" xfId="0" applyBorder="1" applyAlignment="1">
      <alignment horizontal="left"/>
    </xf>
    <xf numFmtId="164" fontId="0" fillId="0" borderId="13" xfId="0" applyNumberFormat="1" applyBorder="1"/>
    <xf numFmtId="0" fontId="0" fillId="0" borderId="1" xfId="0" quotePrefix="1" applyBorder="1"/>
    <xf numFmtId="0" fontId="0" fillId="0" borderId="18" xfId="0" applyBorder="1"/>
    <xf numFmtId="0" fontId="2" fillId="4" borderId="1" xfId="0" applyFont="1" applyFill="1" applyBorder="1" applyAlignment="1">
      <alignment horizontal="center"/>
    </xf>
    <xf numFmtId="0" fontId="12" fillId="5" borderId="1" xfId="0" applyFont="1" applyFill="1" applyBorder="1" applyAlignment="1">
      <alignment horizontal="center" vertical="center"/>
    </xf>
    <xf numFmtId="164" fontId="8" fillId="5" borderId="1" xfId="0" applyNumberFormat="1" applyFont="1" applyFill="1" applyBorder="1" applyAlignment="1">
      <alignment horizontal="center" vertical="center"/>
    </xf>
    <xf numFmtId="164" fontId="8" fillId="5" borderId="1" xfId="0" applyNumberFormat="1" applyFont="1" applyFill="1" applyBorder="1" applyAlignment="1">
      <alignment horizontal="center" vertical="center" wrapText="1"/>
    </xf>
    <xf numFmtId="0" fontId="5" fillId="0" borderId="14" xfId="0" applyFont="1" applyBorder="1"/>
    <xf numFmtId="9" fontId="0" fillId="0" borderId="1" xfId="1" applyFont="1" applyBorder="1"/>
    <xf numFmtId="0" fontId="2" fillId="4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 wrapText="1"/>
    </xf>
    <xf numFmtId="0" fontId="8" fillId="7" borderId="19" xfId="0" applyFont="1" applyFill="1" applyBorder="1" applyAlignment="1">
      <alignment horizontal="center" vertical="center" wrapText="1"/>
    </xf>
    <xf numFmtId="0" fontId="8" fillId="7" borderId="15" xfId="0" applyFont="1" applyFill="1" applyBorder="1" applyAlignment="1">
      <alignment horizontal="center" vertical="center" wrapText="1"/>
    </xf>
    <xf numFmtId="0" fontId="8" fillId="7" borderId="20" xfId="0" applyFont="1" applyFill="1" applyBorder="1" applyAlignment="1">
      <alignment horizontal="center" vertical="center" wrapText="1"/>
    </xf>
    <xf numFmtId="0" fontId="8" fillId="7" borderId="21" xfId="0" applyFont="1" applyFill="1" applyBorder="1" applyAlignment="1">
      <alignment horizontal="center" vertical="center" wrapText="1"/>
    </xf>
    <xf numFmtId="0" fontId="8" fillId="7" borderId="23" xfId="0" applyFont="1" applyFill="1" applyBorder="1" applyAlignment="1">
      <alignment horizontal="center" vertical="center" wrapText="1"/>
    </xf>
    <xf numFmtId="9" fontId="0" fillId="0" borderId="1" xfId="1" applyFont="1" applyFill="1" applyBorder="1"/>
    <xf numFmtId="14" fontId="5" fillId="0" borderId="1" xfId="0" applyNumberFormat="1" applyFont="1" applyBorder="1"/>
    <xf numFmtId="164" fontId="5" fillId="0" borderId="1" xfId="0" applyNumberFormat="1" applyFont="1" applyBorder="1"/>
    <xf numFmtId="0" fontId="11" fillId="0" borderId="1" xfId="0" applyFont="1" applyBorder="1"/>
    <xf numFmtId="0" fontId="10" fillId="0" borderId="1" xfId="0" applyFont="1" applyBorder="1"/>
    <xf numFmtId="9" fontId="1" fillId="0" borderId="1" xfId="1" applyFont="1" applyFill="1" applyBorder="1"/>
    <xf numFmtId="0" fontId="9" fillId="0" borderId="0" xfId="0" applyFont="1"/>
    <xf numFmtId="0" fontId="2" fillId="0" borderId="16" xfId="0" applyFont="1" applyBorder="1"/>
    <xf numFmtId="0" fontId="0" fillId="0" borderId="17" xfId="0" applyBorder="1"/>
    <xf numFmtId="164" fontId="0" fillId="0" borderId="17" xfId="0" applyNumberFormat="1" applyBorder="1"/>
    <xf numFmtId="9" fontId="0" fillId="0" borderId="0" xfId="1" applyFont="1" applyFill="1"/>
    <xf numFmtId="164" fontId="2" fillId="0" borderId="0" xfId="1" applyNumberFormat="1" applyFont="1" applyFill="1"/>
    <xf numFmtId="0" fontId="0" fillId="0" borderId="0" xfId="0" quotePrefix="1"/>
    <xf numFmtId="166" fontId="2" fillId="0" borderId="0" xfId="1" applyNumberFormat="1" applyFont="1" applyFill="1"/>
    <xf numFmtId="14" fontId="0" fillId="0" borderId="13" xfId="0" applyNumberFormat="1" applyBorder="1"/>
    <xf numFmtId="164" fontId="0" fillId="0" borderId="8" xfId="0" applyNumberFormat="1" applyBorder="1"/>
    <xf numFmtId="0" fontId="0" fillId="0" borderId="8" xfId="0" applyBorder="1"/>
    <xf numFmtId="164" fontId="0" fillId="0" borderId="12" xfId="0" applyNumberFormat="1" applyBorder="1"/>
    <xf numFmtId="164" fontId="0" fillId="0" borderId="18" xfId="0" applyNumberFormat="1" applyBorder="1"/>
    <xf numFmtId="0" fontId="20" fillId="0" borderId="0" xfId="0" applyFont="1"/>
    <xf numFmtId="0" fontId="21" fillId="0" borderId="0" xfId="0" applyFont="1"/>
    <xf numFmtId="164" fontId="0" fillId="0" borderId="25" xfId="0" applyNumberFormat="1" applyBorder="1"/>
    <xf numFmtId="164" fontId="6" fillId="3" borderId="1" xfId="0" applyNumberFormat="1" applyFont="1" applyFill="1" applyBorder="1"/>
    <xf numFmtId="164" fontId="0" fillId="3" borderId="1" xfId="0" applyNumberFormat="1" applyFill="1" applyBorder="1"/>
    <xf numFmtId="0" fontId="25" fillId="6" borderId="0" xfId="2" applyFill="1"/>
    <xf numFmtId="0" fontId="26" fillId="11" borderId="0" xfId="2" applyFont="1" applyFill="1"/>
    <xf numFmtId="0" fontId="25" fillId="0" borderId="0" xfId="2"/>
    <xf numFmtId="0" fontId="27" fillId="11" borderId="0" xfId="2" applyFont="1" applyFill="1"/>
    <xf numFmtId="0" fontId="28" fillId="11" borderId="0" xfId="2" applyFont="1" applyFill="1"/>
    <xf numFmtId="0" fontId="26" fillId="12" borderId="0" xfId="2" applyFont="1" applyFill="1"/>
    <xf numFmtId="0" fontId="25" fillId="10" borderId="0" xfId="2" applyFill="1"/>
    <xf numFmtId="0" fontId="31" fillId="0" borderId="0" xfId="2" applyFont="1" applyAlignment="1">
      <alignment vertical="center"/>
    </xf>
    <xf numFmtId="0" fontId="31" fillId="0" borderId="0" xfId="2" applyFont="1" applyAlignment="1">
      <alignment horizontal="right" vertical="center"/>
    </xf>
    <xf numFmtId="0" fontId="23" fillId="0" borderId="0" xfId="2" applyFont="1" applyAlignment="1">
      <alignment vertical="center"/>
    </xf>
    <xf numFmtId="0" fontId="23" fillId="0" borderId="0" xfId="2" applyFont="1" applyAlignment="1">
      <alignment horizontal="right" vertical="center"/>
    </xf>
    <xf numFmtId="14" fontId="23" fillId="0" borderId="0" xfId="2" applyNumberFormat="1" applyFont="1" applyAlignment="1">
      <alignment vertical="center"/>
    </xf>
    <xf numFmtId="14" fontId="23" fillId="0" borderId="0" xfId="2" applyNumberFormat="1" applyFont="1" applyAlignment="1">
      <alignment horizontal="right" vertical="center"/>
    </xf>
    <xf numFmtId="14" fontId="23" fillId="0" borderId="0" xfId="2" applyNumberFormat="1" applyFont="1"/>
    <xf numFmtId="0" fontId="23" fillId="0" borderId="0" xfId="2" applyFont="1"/>
    <xf numFmtId="0" fontId="31" fillId="0" borderId="10" xfId="2" applyFont="1" applyBorder="1" applyAlignment="1">
      <alignment horizontal="left"/>
    </xf>
    <xf numFmtId="0" fontId="31" fillId="0" borderId="10" xfId="2" applyFont="1" applyBorder="1" applyAlignment="1">
      <alignment horizontal="right"/>
    </xf>
    <xf numFmtId="0" fontId="31" fillId="0" borderId="10" xfId="2" applyFont="1" applyBorder="1" applyAlignment="1">
      <alignment horizontal="center"/>
    </xf>
    <xf numFmtId="14" fontId="23" fillId="0" borderId="0" xfId="2" applyNumberFormat="1" applyFont="1" applyAlignment="1">
      <alignment horizontal="left" vertical="center"/>
    </xf>
    <xf numFmtId="0" fontId="23" fillId="0" borderId="0" xfId="2" applyFont="1" applyAlignment="1">
      <alignment horizontal="left" vertical="center"/>
    </xf>
    <xf numFmtId="167" fontId="23" fillId="0" borderId="0" xfId="2" applyNumberFormat="1" applyFont="1" applyAlignment="1">
      <alignment horizontal="right" vertical="center"/>
    </xf>
    <xf numFmtId="165" fontId="23" fillId="0" borderId="0" xfId="2" applyNumberFormat="1" applyFont="1" applyAlignment="1">
      <alignment horizontal="right" vertical="center"/>
    </xf>
    <xf numFmtId="9" fontId="23" fillId="0" borderId="0" xfId="3" applyFont="1" applyAlignment="1">
      <alignment horizontal="right" vertical="center"/>
    </xf>
    <xf numFmtId="0" fontId="23" fillId="0" borderId="3" xfId="2" applyFont="1" applyBorder="1" applyAlignment="1">
      <alignment horizontal="left" vertical="center"/>
    </xf>
    <xf numFmtId="167" fontId="23" fillId="0" borderId="3" xfId="2" applyNumberFormat="1" applyFont="1" applyBorder="1" applyAlignment="1">
      <alignment horizontal="right" vertical="center"/>
    </xf>
    <xf numFmtId="165" fontId="23" fillId="0" borderId="3" xfId="2" applyNumberFormat="1" applyFont="1" applyBorder="1" applyAlignment="1">
      <alignment horizontal="right" vertical="center"/>
    </xf>
    <xf numFmtId="0" fontId="23" fillId="0" borderId="0" xfId="2" applyFont="1" applyAlignment="1">
      <alignment horizontal="right"/>
    </xf>
    <xf numFmtId="167" fontId="23" fillId="0" borderId="0" xfId="2" applyNumberFormat="1" applyFont="1" applyAlignment="1">
      <alignment horizontal="right"/>
    </xf>
    <xf numFmtId="0" fontId="23" fillId="0" borderId="3" xfId="2" applyFont="1" applyBorder="1" applyAlignment="1">
      <alignment horizontal="right"/>
    </xf>
    <xf numFmtId="167" fontId="23" fillId="0" borderId="3" xfId="2" applyNumberFormat="1" applyFont="1" applyBorder="1" applyAlignment="1">
      <alignment horizontal="right"/>
    </xf>
    <xf numFmtId="0" fontId="32" fillId="0" borderId="0" xfId="2" applyFont="1" applyAlignment="1">
      <alignment horizontal="left" vertical="center"/>
    </xf>
    <xf numFmtId="0" fontId="32" fillId="0" borderId="0" xfId="2" applyFont="1" applyAlignment="1">
      <alignment horizontal="right" vertical="center"/>
    </xf>
    <xf numFmtId="168" fontId="33" fillId="0" borderId="0" xfId="2" applyNumberFormat="1" applyFont="1" applyAlignment="1">
      <alignment horizontal="right"/>
    </xf>
    <xf numFmtId="167" fontId="33" fillId="0" borderId="0" xfId="2" applyNumberFormat="1" applyFont="1" applyAlignment="1">
      <alignment horizontal="right"/>
    </xf>
    <xf numFmtId="167" fontId="32" fillId="0" borderId="0" xfId="2" applyNumberFormat="1" applyFont="1" applyAlignment="1">
      <alignment horizontal="right"/>
    </xf>
    <xf numFmtId="0" fontId="32" fillId="0" borderId="0" xfId="2" applyFont="1" applyAlignment="1">
      <alignment vertical="center"/>
    </xf>
    <xf numFmtId="0" fontId="34" fillId="0" borderId="0" xfId="2" applyFont="1" applyAlignment="1">
      <alignment horizontal="center" vertical="center"/>
    </xf>
    <xf numFmtId="10" fontId="32" fillId="0" borderId="0" xfId="2" applyNumberFormat="1" applyFont="1" applyAlignment="1">
      <alignment horizontal="right" vertical="center"/>
    </xf>
    <xf numFmtId="0" fontId="35" fillId="13" borderId="0" xfId="2" applyFont="1" applyFill="1"/>
    <xf numFmtId="0" fontId="26" fillId="13" borderId="0" xfId="2" applyFont="1" applyFill="1"/>
    <xf numFmtId="0" fontId="36" fillId="14" borderId="0" xfId="2" applyFont="1" applyFill="1" applyAlignment="1">
      <alignment horizontal="right"/>
    </xf>
    <xf numFmtId="0" fontId="23" fillId="6" borderId="0" xfId="2" applyFont="1" applyFill="1" applyAlignment="1">
      <alignment vertical="center"/>
    </xf>
    <xf numFmtId="0" fontId="25" fillId="7" borderId="0" xfId="2" applyFill="1"/>
    <xf numFmtId="0" fontId="38" fillId="6" borderId="0" xfId="2" applyFont="1" applyFill="1" applyAlignment="1">
      <alignment horizontal="center" vertical="center"/>
    </xf>
    <xf numFmtId="0" fontId="38" fillId="7" borderId="0" xfId="2" applyFont="1" applyFill="1" applyAlignment="1">
      <alignment horizontal="center" vertical="center"/>
    </xf>
    <xf numFmtId="0" fontId="26" fillId="0" borderId="0" xfId="2" applyFont="1" applyAlignment="1">
      <alignment vertical="center"/>
    </xf>
    <xf numFmtId="167" fontId="23" fillId="0" borderId="0" xfId="2" applyNumberFormat="1" applyFont="1" applyAlignment="1">
      <alignment horizontal="center" vertical="center"/>
    </xf>
    <xf numFmtId="2" fontId="23" fillId="0" borderId="0" xfId="2" applyNumberFormat="1" applyFont="1" applyAlignment="1">
      <alignment horizontal="center" vertical="center"/>
    </xf>
    <xf numFmtId="9" fontId="23" fillId="0" borderId="0" xfId="2" applyNumberFormat="1" applyFont="1" applyAlignment="1">
      <alignment horizontal="center" vertical="center"/>
    </xf>
    <xf numFmtId="14" fontId="23" fillId="0" borderId="3" xfId="2" applyNumberFormat="1" applyFont="1" applyBorder="1" applyAlignment="1">
      <alignment horizontal="left" vertical="center"/>
    </xf>
    <xf numFmtId="1" fontId="23" fillId="0" borderId="3" xfId="2" applyNumberFormat="1" applyFont="1" applyBorder="1" applyAlignment="1">
      <alignment horizontal="right" vertical="center"/>
    </xf>
    <xf numFmtId="167" fontId="25" fillId="7" borderId="0" xfId="2" applyNumberFormat="1" applyFill="1" applyAlignment="1">
      <alignment vertical="center"/>
    </xf>
    <xf numFmtId="0" fontId="36" fillId="14" borderId="0" xfId="2" applyFont="1" applyFill="1"/>
    <xf numFmtId="0" fontId="26" fillId="14" borderId="0" xfId="2" applyFont="1" applyFill="1"/>
    <xf numFmtId="14" fontId="25" fillId="0" borderId="0" xfId="2" applyNumberFormat="1"/>
    <xf numFmtId="165" fontId="23" fillId="0" borderId="0" xfId="2" applyNumberFormat="1" applyFont="1" applyAlignment="1">
      <alignment horizontal="center" vertical="center"/>
    </xf>
    <xf numFmtId="0" fontId="23" fillId="0" borderId="3" xfId="2" applyFont="1" applyBorder="1" applyAlignment="1">
      <alignment horizontal="right" vertical="center"/>
    </xf>
    <xf numFmtId="2" fontId="23" fillId="0" borderId="3" xfId="2" applyNumberFormat="1" applyFont="1" applyBorder="1" applyAlignment="1">
      <alignment horizontal="right" vertical="center"/>
    </xf>
    <xf numFmtId="169" fontId="23" fillId="0" borderId="3" xfId="2" applyNumberFormat="1" applyFont="1" applyBorder="1" applyAlignment="1">
      <alignment horizontal="right" vertical="center"/>
    </xf>
    <xf numFmtId="9" fontId="0" fillId="0" borderId="0" xfId="3" applyFont="1" applyAlignment="1"/>
    <xf numFmtId="167" fontId="25" fillId="0" borderId="0" xfId="2" applyNumberFormat="1"/>
    <xf numFmtId="0" fontId="41" fillId="0" borderId="0" xfId="2" applyFont="1"/>
    <xf numFmtId="0" fontId="25" fillId="15" borderId="0" xfId="2" applyFill="1"/>
    <xf numFmtId="0" fontId="42" fillId="0" borderId="0" xfId="4" applyAlignment="1"/>
    <xf numFmtId="167" fontId="23" fillId="0" borderId="0" xfId="2" applyNumberFormat="1" applyFont="1" applyAlignment="1">
      <alignment horizontal="left" vertical="center"/>
    </xf>
    <xf numFmtId="2" fontId="40" fillId="0" borderId="0" xfId="2" applyNumberFormat="1" applyFont="1" applyAlignment="1">
      <alignment horizontal="center" vertical="center"/>
    </xf>
    <xf numFmtId="9" fontId="40" fillId="0" borderId="0" xfId="2" applyNumberFormat="1" applyFont="1" applyAlignment="1">
      <alignment horizontal="center" vertical="center"/>
    </xf>
    <xf numFmtId="167" fontId="25" fillId="7" borderId="0" xfId="2" applyNumberFormat="1" applyFill="1" applyAlignment="1">
      <alignment horizontal="right" vertical="center"/>
    </xf>
    <xf numFmtId="0" fontId="25" fillId="7" borderId="0" xfId="2" applyFill="1" applyAlignment="1">
      <alignment horizontal="right"/>
    </xf>
    <xf numFmtId="0" fontId="26" fillId="14" borderId="0" xfId="2" applyFont="1" applyFill="1" applyAlignment="1">
      <alignment horizontal="right"/>
    </xf>
    <xf numFmtId="170" fontId="25" fillId="0" borderId="0" xfId="2" applyNumberFormat="1"/>
    <xf numFmtId="0" fontId="43" fillId="13" borderId="0" xfId="2" applyFont="1" applyFill="1"/>
    <xf numFmtId="0" fontId="44" fillId="6" borderId="0" xfId="2" applyFont="1" applyFill="1" applyAlignment="1">
      <alignment vertical="center"/>
    </xf>
    <xf numFmtId="0" fontId="45" fillId="11" borderId="0" xfId="2" applyFont="1" applyFill="1" applyAlignment="1">
      <alignment horizontal="right"/>
    </xf>
    <xf numFmtId="14" fontId="31" fillId="0" borderId="10" xfId="2" applyNumberFormat="1" applyFont="1" applyBorder="1" applyAlignment="1">
      <alignment horizontal="left"/>
    </xf>
    <xf numFmtId="164" fontId="23" fillId="0" borderId="3" xfId="2" applyNumberFormat="1" applyFont="1" applyBorder="1" applyAlignment="1">
      <alignment horizontal="right" vertical="center"/>
    </xf>
    <xf numFmtId="9" fontId="23" fillId="0" borderId="3" xfId="2" applyNumberFormat="1" applyFont="1" applyBorder="1" applyAlignment="1">
      <alignment horizontal="right" vertical="center"/>
    </xf>
    <xf numFmtId="168" fontId="32" fillId="0" borderId="0" xfId="2" applyNumberFormat="1" applyFont="1" applyAlignment="1">
      <alignment horizontal="right" vertical="center"/>
    </xf>
    <xf numFmtId="14" fontId="31" fillId="0" borderId="0" xfId="2" applyNumberFormat="1" applyFont="1" applyAlignment="1">
      <alignment horizontal="right" vertical="center"/>
    </xf>
    <xf numFmtId="0" fontId="0" fillId="0" borderId="0" xfId="3" applyNumberFormat="1" applyFont="1" applyAlignment="1"/>
    <xf numFmtId="165" fontId="23" fillId="0" borderId="3" xfId="2" applyNumberFormat="1" applyFont="1" applyBorder="1" applyAlignment="1">
      <alignment horizontal="center" vertical="center"/>
    </xf>
    <xf numFmtId="9" fontId="23" fillId="0" borderId="3" xfId="2" applyNumberFormat="1" applyFont="1" applyBorder="1" applyAlignment="1">
      <alignment horizontal="center" vertical="center"/>
    </xf>
    <xf numFmtId="167" fontId="23" fillId="0" borderId="3" xfId="2" applyNumberFormat="1" applyFont="1" applyBorder="1" applyAlignment="1">
      <alignment horizontal="center" vertical="center"/>
    </xf>
    <xf numFmtId="0" fontId="42" fillId="0" borderId="0" xfId="4" applyFill="1" applyAlignment="1"/>
    <xf numFmtId="2" fontId="23" fillId="0" borderId="0" xfId="2" applyNumberFormat="1" applyFont="1" applyAlignment="1">
      <alignment horizontal="right" vertical="center"/>
    </xf>
    <xf numFmtId="9" fontId="23" fillId="0" borderId="0" xfId="2" applyNumberFormat="1" applyFont="1" applyAlignment="1">
      <alignment horizontal="right" vertical="center"/>
    </xf>
    <xf numFmtId="0" fontId="46" fillId="0" borderId="0" xfId="2" applyFont="1"/>
    <xf numFmtId="9" fontId="23" fillId="0" borderId="0" xfId="3" applyFont="1" applyAlignment="1">
      <alignment horizontal="center" vertical="center"/>
    </xf>
    <xf numFmtId="9" fontId="23" fillId="0" borderId="3" xfId="3" applyFont="1" applyBorder="1" applyAlignment="1">
      <alignment horizontal="right" vertical="center"/>
    </xf>
    <xf numFmtId="171" fontId="25" fillId="0" borderId="0" xfId="2" applyNumberFormat="1"/>
    <xf numFmtId="171" fontId="0" fillId="0" borderId="0" xfId="3" applyNumberFormat="1" applyFont="1" applyAlignment="1"/>
    <xf numFmtId="0" fontId="25" fillId="9" borderId="0" xfId="2" applyFill="1"/>
    <xf numFmtId="20" fontId="25" fillId="0" borderId="0" xfId="2" applyNumberFormat="1"/>
    <xf numFmtId="9" fontId="23" fillId="0" borderId="3" xfId="3" applyFont="1" applyBorder="1" applyAlignment="1">
      <alignment horizontal="center" vertical="center"/>
    </xf>
    <xf numFmtId="164" fontId="25" fillId="0" borderId="0" xfId="2" applyNumberFormat="1"/>
    <xf numFmtId="0" fontId="47" fillId="0" borderId="0" xfId="2" applyFont="1" applyAlignment="1">
      <alignment horizontal="right" vertical="center"/>
    </xf>
    <xf numFmtId="167" fontId="25" fillId="0" borderId="0" xfId="2" applyNumberFormat="1" applyAlignment="1">
      <alignment horizontal="right"/>
    </xf>
    <xf numFmtId="0" fontId="48" fillId="0" borderId="0" xfId="2" applyFont="1"/>
    <xf numFmtId="165" fontId="40" fillId="0" borderId="0" xfId="2" applyNumberFormat="1" applyFont="1" applyAlignment="1">
      <alignment horizontal="center" vertical="center"/>
    </xf>
    <xf numFmtId="9" fontId="40" fillId="0" borderId="0" xfId="3" applyFont="1" applyAlignment="1">
      <alignment horizontal="center" vertical="center"/>
    </xf>
    <xf numFmtId="0" fontId="49" fillId="0" borderId="0" xfId="2" applyFont="1"/>
    <xf numFmtId="0" fontId="42" fillId="0" borderId="0" xfId="4" applyAlignment="1">
      <alignment vertical="center"/>
    </xf>
    <xf numFmtId="2" fontId="23" fillId="0" borderId="3" xfId="2" applyNumberFormat="1" applyFont="1" applyBorder="1" applyAlignment="1">
      <alignment horizontal="center" vertical="center"/>
    </xf>
    <xf numFmtId="0" fontId="51" fillId="0" borderId="0" xfId="2" applyFont="1"/>
    <xf numFmtId="0" fontId="22" fillId="0" borderId="0" xfId="0" applyFont="1"/>
    <xf numFmtId="0" fontId="17" fillId="0" borderId="0" xfId="0" applyFont="1"/>
    <xf numFmtId="0" fontId="8" fillId="7" borderId="10" xfId="0" applyFont="1" applyFill="1" applyBorder="1" applyAlignment="1">
      <alignment vertical="center" wrapText="1"/>
    </xf>
    <xf numFmtId="0" fontId="31" fillId="0" borderId="0" xfId="2" applyFont="1" applyAlignment="1">
      <alignment horizontal="right" vertical="center" indent="1"/>
    </xf>
    <xf numFmtId="0" fontId="23" fillId="0" borderId="0" xfId="2" applyFont="1" applyAlignment="1">
      <alignment horizontal="right" vertical="center" indent="1"/>
    </xf>
    <xf numFmtId="14" fontId="23" fillId="0" borderId="0" xfId="2" applyNumberFormat="1" applyFont="1" applyAlignment="1">
      <alignment horizontal="right" vertical="center" indent="1"/>
    </xf>
    <xf numFmtId="0" fontId="3" fillId="0" borderId="23" xfId="0" applyFont="1" applyBorder="1"/>
    <xf numFmtId="0" fontId="14" fillId="7" borderId="0" xfId="0" applyFont="1" applyFill="1" applyAlignment="1">
      <alignment horizontal="center" vertical="center"/>
    </xf>
    <xf numFmtId="0" fontId="25" fillId="0" borderId="0" xfId="2" applyAlignment="1">
      <alignment horizontal="right"/>
    </xf>
    <xf numFmtId="14" fontId="53" fillId="0" borderId="0" xfId="0" applyNumberFormat="1" applyFont="1"/>
    <xf numFmtId="165" fontId="2" fillId="8" borderId="6" xfId="0" applyNumberFormat="1" applyFont="1" applyFill="1" applyBorder="1"/>
    <xf numFmtId="164" fontId="2" fillId="2" borderId="22" xfId="0" applyNumberFormat="1" applyFont="1" applyFill="1" applyBorder="1"/>
    <xf numFmtId="165" fontId="2" fillId="0" borderId="20" xfId="0" applyNumberFormat="1" applyFont="1" applyBorder="1"/>
    <xf numFmtId="0" fontId="2" fillId="0" borderId="15" xfId="0" applyFont="1" applyBorder="1"/>
    <xf numFmtId="0" fontId="2" fillId="0" borderId="23" xfId="0" applyFont="1" applyBorder="1"/>
    <xf numFmtId="0" fontId="57" fillId="0" borderId="15" xfId="0" applyFont="1" applyBorder="1"/>
    <xf numFmtId="164" fontId="57" fillId="0" borderId="15" xfId="0" applyNumberFormat="1" applyFont="1" applyBorder="1"/>
    <xf numFmtId="0" fontId="40" fillId="0" borderId="5" xfId="0" applyFont="1" applyBorder="1" applyAlignment="1">
      <alignment vertical="center"/>
    </xf>
    <xf numFmtId="0" fontId="53" fillId="0" borderId="1" xfId="0" applyFont="1" applyBorder="1" applyAlignment="1">
      <alignment vertical="center"/>
    </xf>
    <xf numFmtId="0" fontId="40" fillId="0" borderId="0" xfId="0" applyFont="1" applyAlignment="1">
      <alignment vertical="center"/>
    </xf>
    <xf numFmtId="172" fontId="53" fillId="0" borderId="12" xfId="0" applyNumberFormat="1" applyFont="1" applyBorder="1" applyAlignment="1">
      <alignment vertical="center"/>
    </xf>
    <xf numFmtId="172" fontId="2" fillId="8" borderId="6" xfId="0" applyNumberFormat="1" applyFont="1" applyFill="1" applyBorder="1"/>
    <xf numFmtId="172" fontId="57" fillId="8" borderId="22" xfId="0" applyNumberFormat="1" applyFont="1" applyFill="1" applyBorder="1"/>
    <xf numFmtId="165" fontId="53" fillId="0" borderId="0" xfId="0" applyNumberFormat="1" applyFont="1" applyAlignment="1">
      <alignment horizontal="center" vertical="center"/>
    </xf>
    <xf numFmtId="14" fontId="53" fillId="0" borderId="0" xfId="0" applyNumberFormat="1" applyFont="1" applyAlignment="1">
      <alignment horizontal="right" vertical="center"/>
    </xf>
    <xf numFmtId="164" fontId="53" fillId="0" borderId="0" xfId="0" applyNumberFormat="1" applyFont="1" applyAlignment="1">
      <alignment vertical="center"/>
    </xf>
    <xf numFmtId="164" fontId="0" fillId="0" borderId="5" xfId="0" applyNumberFormat="1" applyBorder="1"/>
    <xf numFmtId="164" fontId="19" fillId="0" borderId="0" xfId="0" applyNumberFormat="1" applyFont="1"/>
    <xf numFmtId="164" fontId="19" fillId="0" borderId="12" xfId="0" applyNumberFormat="1" applyFont="1" applyBorder="1"/>
    <xf numFmtId="164" fontId="0" fillId="0" borderId="9" xfId="0" applyNumberFormat="1" applyBorder="1"/>
    <xf numFmtId="164" fontId="5" fillId="0" borderId="12" xfId="0" applyNumberFormat="1" applyFont="1" applyBorder="1"/>
    <xf numFmtId="164" fontId="5" fillId="0" borderId="5" xfId="0" applyNumberFormat="1" applyFont="1" applyBorder="1"/>
    <xf numFmtId="164" fontId="5" fillId="0" borderId="0" xfId="0" applyNumberFormat="1" applyFont="1"/>
    <xf numFmtId="164" fontId="0" fillId="0" borderId="26" xfId="0" applyNumberFormat="1" applyBorder="1"/>
    <xf numFmtId="164" fontId="0" fillId="0" borderId="27" xfId="0" applyNumberFormat="1" applyBorder="1"/>
    <xf numFmtId="164" fontId="5" fillId="0" borderId="4" xfId="0" applyNumberFormat="1" applyFont="1" applyBorder="1"/>
    <xf numFmtId="164" fontId="5" fillId="0" borderId="27" xfId="0" applyNumberFormat="1" applyFont="1" applyBorder="1"/>
    <xf numFmtId="164" fontId="5" fillId="0" borderId="28" xfId="0" applyNumberFormat="1" applyFont="1" applyBorder="1"/>
    <xf numFmtId="164" fontId="5" fillId="0" borderId="9" xfId="0" applyNumberFormat="1" applyFont="1" applyBorder="1"/>
    <xf numFmtId="164" fontId="6" fillId="0" borderId="5" xfId="0" applyNumberFormat="1" applyFont="1" applyBorder="1"/>
    <xf numFmtId="164" fontId="0" fillId="0" borderId="4" xfId="0" applyNumberFormat="1" applyBorder="1"/>
    <xf numFmtId="164" fontId="0" fillId="0" borderId="28" xfId="0" applyNumberFormat="1" applyBorder="1"/>
    <xf numFmtId="164" fontId="55" fillId="0" borderId="5" xfId="0" applyNumberFormat="1" applyFont="1" applyBorder="1"/>
    <xf numFmtId="164" fontId="6" fillId="0" borderId="12" xfId="0" applyNumberFormat="1" applyFont="1" applyBorder="1"/>
    <xf numFmtId="164" fontId="6" fillId="0" borderId="0" xfId="0" applyNumberFormat="1" applyFont="1"/>
    <xf numFmtId="164" fontId="6" fillId="0" borderId="9" xfId="0" applyNumberFormat="1" applyFont="1" applyBorder="1"/>
    <xf numFmtId="0" fontId="8" fillId="7" borderId="29" xfId="0" applyFont="1" applyFill="1" applyBorder="1" applyAlignment="1">
      <alignment horizontal="center" vertical="center" wrapText="1"/>
    </xf>
    <xf numFmtId="164" fontId="0" fillId="0" borderId="30" xfId="0" applyNumberFormat="1" applyBorder="1"/>
    <xf numFmtId="164" fontId="5" fillId="0" borderId="31" xfId="0" applyNumberFormat="1" applyFont="1" applyBorder="1"/>
    <xf numFmtId="164" fontId="5" fillId="0" borderId="30" xfId="0" applyNumberFormat="1" applyFont="1" applyBorder="1"/>
    <xf numFmtId="164" fontId="5" fillId="0" borderId="32" xfId="0" applyNumberFormat="1" applyFont="1" applyBorder="1"/>
    <xf numFmtId="164" fontId="0" fillId="0" borderId="32" xfId="0" applyNumberFormat="1" applyBorder="1"/>
    <xf numFmtId="164" fontId="0" fillId="0" borderId="31" xfId="0" applyNumberFormat="1" applyBorder="1"/>
    <xf numFmtId="164" fontId="0" fillId="0" borderId="33" xfId="0" applyNumberFormat="1" applyBorder="1"/>
    <xf numFmtId="164" fontId="6" fillId="0" borderId="30" xfId="0" applyNumberFormat="1" applyFont="1" applyBorder="1"/>
    <xf numFmtId="164" fontId="2" fillId="2" borderId="34" xfId="0" applyNumberFormat="1" applyFont="1" applyFill="1" applyBorder="1"/>
    <xf numFmtId="0" fontId="2" fillId="0" borderId="31" xfId="0" applyFont="1" applyBorder="1"/>
    <xf numFmtId="165" fontId="2" fillId="8" borderId="8" xfId="0" applyNumberFormat="1" applyFont="1" applyFill="1" applyBorder="1"/>
    <xf numFmtId="0" fontId="0" fillId="0" borderId="8" xfId="0" quotePrefix="1" applyBorder="1" applyAlignment="1">
      <alignment horizontal="center"/>
    </xf>
    <xf numFmtId="0" fontId="21" fillId="16" borderId="37" xfId="0" applyFont="1" applyFill="1" applyBorder="1" applyAlignment="1">
      <alignment horizontal="center"/>
    </xf>
    <xf numFmtId="0" fontId="18" fillId="10" borderId="7" xfId="0" applyFont="1" applyFill="1" applyBorder="1"/>
    <xf numFmtId="0" fontId="18" fillId="10" borderId="2" xfId="0" applyFont="1" applyFill="1" applyBorder="1"/>
    <xf numFmtId="0" fontId="18" fillId="10" borderId="23" xfId="0" applyFont="1" applyFill="1" applyBorder="1"/>
    <xf numFmtId="0" fontId="18" fillId="0" borderId="7" xfId="0" applyFont="1" applyBorder="1"/>
    <xf numFmtId="0" fontId="18" fillId="0" borderId="23" xfId="0" applyFont="1" applyBorder="1"/>
    <xf numFmtId="0" fontId="15" fillId="0" borderId="7" xfId="0" applyFont="1" applyBorder="1"/>
    <xf numFmtId="0" fontId="16" fillId="0" borderId="7" xfId="0" applyFont="1" applyBorder="1"/>
    <xf numFmtId="0" fontId="40" fillId="0" borderId="37" xfId="0" applyFont="1" applyBorder="1"/>
    <xf numFmtId="0" fontId="53" fillId="0" borderId="37" xfId="0" applyFont="1" applyBorder="1"/>
    <xf numFmtId="0" fontId="57" fillId="0" borderId="37" xfId="0" applyFont="1" applyBorder="1"/>
    <xf numFmtId="0" fontId="14" fillId="7" borderId="24" xfId="0" applyFont="1" applyFill="1" applyBorder="1" applyAlignment="1">
      <alignment vertical="center"/>
    </xf>
    <xf numFmtId="0" fontId="40" fillId="0" borderId="38" xfId="0" applyFont="1" applyBorder="1" applyAlignment="1">
      <alignment vertical="center"/>
    </xf>
    <xf numFmtId="0" fontId="53" fillId="0" borderId="38" xfId="0" applyFont="1" applyBorder="1" applyAlignment="1">
      <alignment vertical="center"/>
    </xf>
    <xf numFmtId="0" fontId="54" fillId="0" borderId="38" xfId="0" applyFont="1" applyBorder="1" applyAlignment="1">
      <alignment vertical="center"/>
    </xf>
    <xf numFmtId="1" fontId="53" fillId="0" borderId="38" xfId="0" quotePrefix="1" applyNumberFormat="1" applyFont="1" applyBorder="1" applyAlignment="1">
      <alignment horizontal="right" vertical="center"/>
    </xf>
    <xf numFmtId="0" fontId="53" fillId="0" borderId="38" xfId="0" quotePrefix="1" applyFont="1" applyBorder="1" applyAlignment="1">
      <alignment horizontal="right" vertical="center"/>
    </xf>
    <xf numFmtId="0" fontId="23" fillId="0" borderId="38" xfId="2" applyFont="1" applyBorder="1" applyAlignment="1">
      <alignment vertical="center"/>
    </xf>
    <xf numFmtId="0" fontId="53" fillId="0" borderId="38" xfId="0" applyFont="1" applyBorder="1" applyAlignment="1">
      <alignment horizontal="center" vertical="center"/>
    </xf>
    <xf numFmtId="0" fontId="0" fillId="0" borderId="38" xfId="0" applyBorder="1" applyAlignment="1">
      <alignment horizontal="center"/>
    </xf>
    <xf numFmtId="0" fontId="8" fillId="7" borderId="37" xfId="0" applyFont="1" applyFill="1" applyBorder="1" applyAlignment="1">
      <alignment vertical="center" wrapText="1"/>
    </xf>
    <xf numFmtId="0" fontId="58" fillId="0" borderId="37" xfId="0" applyFont="1" applyBorder="1"/>
    <xf numFmtId="14" fontId="53" fillId="0" borderId="43" xfId="0" applyNumberFormat="1" applyFont="1" applyBorder="1" applyAlignment="1">
      <alignment horizontal="right" vertical="center"/>
    </xf>
    <xf numFmtId="14" fontId="53" fillId="0" borderId="44" xfId="0" applyNumberFormat="1" applyFont="1" applyBorder="1" applyAlignment="1">
      <alignment horizontal="right" vertical="center"/>
    </xf>
    <xf numFmtId="165" fontId="2" fillId="8" borderId="42" xfId="0" applyNumberFormat="1" applyFont="1" applyFill="1" applyBorder="1"/>
    <xf numFmtId="164" fontId="0" fillId="0" borderId="45" xfId="0" applyNumberFormat="1" applyBorder="1"/>
    <xf numFmtId="164" fontId="0" fillId="0" borderId="46" xfId="0" applyNumberFormat="1" applyBorder="1"/>
    <xf numFmtId="164" fontId="5" fillId="0" borderId="46" xfId="0" applyNumberFormat="1" applyFont="1" applyBorder="1"/>
    <xf numFmtId="164" fontId="0" fillId="0" borderId="47" xfId="0" applyNumberFormat="1" applyBorder="1"/>
    <xf numFmtId="164" fontId="6" fillId="0" borderId="46" xfId="0" applyNumberFormat="1" applyFont="1" applyBorder="1"/>
    <xf numFmtId="164" fontId="5" fillId="0" borderId="47" xfId="0" applyNumberFormat="1" applyFont="1" applyBorder="1"/>
    <xf numFmtId="164" fontId="0" fillId="0" borderId="39" xfId="0" applyNumberFormat="1" applyBorder="1"/>
    <xf numFmtId="164" fontId="0" fillId="0" borderId="40" xfId="0" applyNumberFormat="1" applyBorder="1"/>
    <xf numFmtId="164" fontId="5" fillId="0" borderId="40" xfId="0" applyNumberFormat="1" applyFont="1" applyBorder="1"/>
    <xf numFmtId="164" fontId="0" fillId="0" borderId="48" xfId="0" applyNumberFormat="1" applyBorder="1"/>
    <xf numFmtId="164" fontId="19" fillId="0" borderId="40" xfId="0" applyNumberFormat="1" applyFont="1" applyBorder="1"/>
    <xf numFmtId="164" fontId="5" fillId="0" borderId="48" xfId="0" applyNumberFormat="1" applyFont="1" applyBorder="1"/>
    <xf numFmtId="164" fontId="55" fillId="0" borderId="40" xfId="0" applyNumberFormat="1" applyFont="1" applyBorder="1"/>
    <xf numFmtId="164" fontId="6" fillId="0" borderId="40" xfId="0" applyNumberFormat="1" applyFont="1" applyBorder="1"/>
    <xf numFmtId="164" fontId="19" fillId="0" borderId="32" xfId="0" applyNumberFormat="1" applyFont="1" applyBorder="1"/>
    <xf numFmtId="164" fontId="0" fillId="0" borderId="44" xfId="0" applyNumberFormat="1" applyBorder="1"/>
    <xf numFmtId="164" fontId="5" fillId="0" borderId="44" xfId="0" applyNumberFormat="1" applyFont="1" applyBorder="1"/>
    <xf numFmtId="164" fontId="19" fillId="0" borderId="44" xfId="0" applyNumberFormat="1" applyFont="1" applyBorder="1"/>
    <xf numFmtId="164" fontId="0" fillId="0" borderId="49" xfId="0" applyNumberFormat="1" applyBorder="1"/>
    <xf numFmtId="0" fontId="53" fillId="0" borderId="11" xfId="0" applyFont="1" applyBorder="1" applyAlignment="1">
      <alignment vertical="center"/>
    </xf>
    <xf numFmtId="0" fontId="8" fillId="7" borderId="37" xfId="0" applyFont="1" applyFill="1" applyBorder="1" applyAlignment="1">
      <alignment horizontal="center" vertical="center" wrapText="1"/>
    </xf>
    <xf numFmtId="164" fontId="2" fillId="2" borderId="6" xfId="0" applyNumberFormat="1" applyFont="1" applyFill="1" applyBorder="1"/>
    <xf numFmtId="0" fontId="2" fillId="0" borderId="20" xfId="0" applyFont="1" applyBorder="1"/>
    <xf numFmtId="0" fontId="39" fillId="8" borderId="50" xfId="0" applyFont="1" applyFill="1" applyBorder="1" applyAlignment="1">
      <alignment horizontal="center"/>
    </xf>
    <xf numFmtId="0" fontId="57" fillId="0" borderId="47" xfId="0" applyFont="1" applyBorder="1"/>
    <xf numFmtId="44" fontId="53" fillId="0" borderId="0" xfId="0" applyNumberFormat="1" applyFont="1"/>
    <xf numFmtId="165" fontId="53" fillId="10" borderId="39" xfId="0" applyNumberFormat="1" applyFont="1" applyFill="1" applyBorder="1" applyAlignment="1">
      <alignment horizontal="center" vertical="center"/>
    </xf>
    <xf numFmtId="165" fontId="53" fillId="10" borderId="40" xfId="0" applyNumberFormat="1" applyFont="1" applyFill="1" applyBorder="1" applyAlignment="1">
      <alignment horizontal="center" vertical="center"/>
    </xf>
    <xf numFmtId="165" fontId="53" fillId="10" borderId="41" xfId="0" applyNumberFormat="1" applyFont="1" applyFill="1" applyBorder="1" applyAlignment="1">
      <alignment horizontal="center" vertical="center"/>
    </xf>
    <xf numFmtId="0" fontId="56" fillId="7" borderId="35" xfId="0" applyFont="1" applyFill="1" applyBorder="1" applyAlignment="1">
      <alignment horizontal="center" vertical="center"/>
    </xf>
    <xf numFmtId="0" fontId="56" fillId="7" borderId="36" xfId="0" applyFont="1" applyFill="1" applyBorder="1" applyAlignment="1">
      <alignment horizontal="center" vertical="center"/>
    </xf>
    <xf numFmtId="0" fontId="31" fillId="0" borderId="10" xfId="2" applyFont="1" applyBorder="1" applyAlignment="1">
      <alignment horizontal="left"/>
    </xf>
    <xf numFmtId="0" fontId="29" fillId="11" borderId="0" xfId="2" applyFont="1" applyFill="1" applyAlignment="1">
      <alignment horizontal="right"/>
    </xf>
    <xf numFmtId="0" fontId="27" fillId="6" borderId="0" xfId="2" applyFont="1" applyFill="1"/>
    <xf numFmtId="0" fontId="30" fillId="11" borderId="0" xfId="2" applyFont="1" applyFill="1" applyAlignment="1">
      <alignment horizontal="center" vertical="center"/>
    </xf>
    <xf numFmtId="0" fontId="27" fillId="6" borderId="0" xfId="2" applyFont="1" applyFill="1" applyAlignment="1">
      <alignment horizontal="center" vertical="center"/>
    </xf>
    <xf numFmtId="0" fontId="27" fillId="11" borderId="0" xfId="2" applyFont="1" applyFill="1" applyAlignment="1">
      <alignment horizontal="right"/>
    </xf>
    <xf numFmtId="0" fontId="25" fillId="0" borderId="0" xfId="2"/>
    <xf numFmtId="0" fontId="31" fillId="0" borderId="0" xfId="2" applyFont="1" applyAlignment="1">
      <alignment vertical="center"/>
    </xf>
    <xf numFmtId="0" fontId="23" fillId="0" borderId="0" xfId="2" applyFont="1"/>
    <xf numFmtId="0" fontId="23" fillId="0" borderId="0" xfId="2" applyFont="1" applyAlignment="1">
      <alignment vertical="center" wrapText="1"/>
    </xf>
    <xf numFmtId="0" fontId="23" fillId="0" borderId="0" xfId="2" applyFont="1" applyAlignment="1">
      <alignment vertical="center"/>
    </xf>
    <xf numFmtId="167" fontId="37" fillId="14" borderId="0" xfId="2" applyNumberFormat="1" applyFont="1" applyFill="1" applyAlignment="1">
      <alignment horizontal="center" vertical="center"/>
    </xf>
    <xf numFmtId="0" fontId="38" fillId="0" borderId="0" xfId="2" applyFont="1" applyAlignment="1">
      <alignment horizontal="center" vertical="center"/>
    </xf>
    <xf numFmtId="0" fontId="23" fillId="0" borderId="0" xfId="2" applyFont="1" applyAlignment="1">
      <alignment horizontal="center" vertical="center" wrapText="1"/>
    </xf>
    <xf numFmtId="0" fontId="23" fillId="0" borderId="3" xfId="2" applyFont="1" applyBorder="1" applyAlignment="1">
      <alignment horizontal="left" vertical="center"/>
    </xf>
    <xf numFmtId="0" fontId="23" fillId="0" borderId="3" xfId="2" applyFont="1" applyBorder="1"/>
    <xf numFmtId="0" fontId="23" fillId="0" borderId="10" xfId="2" applyFont="1" applyBorder="1" applyAlignment="1">
      <alignment horizontal="left" vertical="center"/>
    </xf>
    <xf numFmtId="0" fontId="23" fillId="0" borderId="10" xfId="2" applyFont="1" applyBorder="1"/>
    <xf numFmtId="0" fontId="23" fillId="0" borderId="0" xfId="2" applyFont="1" applyAlignment="1">
      <alignment horizontal="left" vertical="center"/>
    </xf>
    <xf numFmtId="0" fontId="32" fillId="0" borderId="0" xfId="2" applyFont="1" applyAlignment="1">
      <alignment horizontal="left" vertical="center"/>
    </xf>
    <xf numFmtId="0" fontId="34" fillId="0" borderId="0" xfId="2" applyFont="1" applyAlignment="1">
      <alignment horizontal="center" vertical="center"/>
    </xf>
    <xf numFmtId="0" fontId="23" fillId="0" borderId="0" xfId="2" applyFont="1" applyAlignment="1">
      <alignment horizontal="left" vertical="center" wrapText="1"/>
    </xf>
    <xf numFmtId="0" fontId="23" fillId="0" borderId="0" xfId="2" applyFont="1" applyAlignment="1">
      <alignment wrapText="1"/>
    </xf>
    <xf numFmtId="0" fontId="39" fillId="0" borderId="0" xfId="2" applyFont="1" applyAlignment="1">
      <alignment vertical="center"/>
    </xf>
    <xf numFmtId="0" fontId="40" fillId="0" borderId="0" xfId="2" applyFont="1"/>
    <xf numFmtId="0" fontId="40" fillId="0" borderId="0" xfId="2" applyFont="1" applyAlignment="1">
      <alignment vertical="center"/>
    </xf>
    <xf numFmtId="0" fontId="26" fillId="14" borderId="0" xfId="2" applyFont="1" applyFill="1"/>
    <xf numFmtId="0" fontId="23" fillId="0" borderId="0" xfId="2" applyFont="1" applyAlignment="1">
      <alignment horizontal="left" wrapText="1"/>
    </xf>
    <xf numFmtId="0" fontId="36" fillId="14" borderId="0" xfId="2" applyFont="1" applyFill="1" applyAlignment="1">
      <alignment horizontal="right"/>
    </xf>
    <xf numFmtId="0" fontId="40" fillId="0" borderId="0" xfId="2" applyFont="1" applyAlignment="1">
      <alignment vertical="center" wrapText="1"/>
    </xf>
    <xf numFmtId="0" fontId="25" fillId="7" borderId="0" xfId="2" applyFill="1"/>
    <xf numFmtId="167" fontId="37" fillId="14" borderId="0" xfId="2" applyNumberFormat="1" applyFont="1" applyFill="1" applyAlignment="1">
      <alignment vertical="center"/>
    </xf>
    <xf numFmtId="167" fontId="25" fillId="7" borderId="0" xfId="2" applyNumberFormat="1" applyFill="1" applyAlignment="1">
      <alignment vertical="center"/>
    </xf>
    <xf numFmtId="167" fontId="37" fillId="14" borderId="0" xfId="2" applyNumberFormat="1" applyFont="1" applyFill="1" applyAlignment="1">
      <alignment horizontal="right" vertical="center"/>
    </xf>
    <xf numFmtId="14" fontId="23" fillId="0" borderId="0" xfId="2" applyNumberFormat="1" applyFont="1" applyAlignment="1">
      <alignment horizontal="center" vertical="center"/>
    </xf>
    <xf numFmtId="167" fontId="23" fillId="0" borderId="0" xfId="2" applyNumberFormat="1" applyFont="1" applyAlignment="1">
      <alignment horizontal="center" vertical="center"/>
    </xf>
    <xf numFmtId="165" fontId="23" fillId="0" borderId="0" xfId="2" applyNumberFormat="1" applyFont="1" applyAlignment="1">
      <alignment horizontal="center" vertical="center"/>
    </xf>
    <xf numFmtId="9" fontId="23" fillId="0" borderId="0" xfId="3" applyFont="1" applyAlignment="1">
      <alignment horizontal="center" vertical="center"/>
    </xf>
    <xf numFmtId="0" fontId="31" fillId="0" borderId="10" xfId="2" applyFont="1" applyBorder="1" applyAlignment="1">
      <alignment horizontal="center"/>
    </xf>
    <xf numFmtId="0" fontId="50" fillId="14" borderId="0" xfId="2" applyFont="1" applyFill="1" applyAlignment="1">
      <alignment horizontal="right"/>
    </xf>
    <xf numFmtId="0" fontId="23" fillId="0" borderId="3" xfId="2" applyFont="1" applyBorder="1" applyAlignment="1">
      <alignment horizontal="left" vertical="center" wrapText="1"/>
    </xf>
    <xf numFmtId="0" fontId="23" fillId="0" borderId="3" xfId="2" applyFont="1" applyBorder="1" applyAlignment="1">
      <alignment wrapText="1"/>
    </xf>
    <xf numFmtId="0" fontId="39" fillId="0" borderId="0" xfId="2" applyFont="1" applyAlignment="1">
      <alignment vertical="center" wrapText="1"/>
    </xf>
    <xf numFmtId="0" fontId="0" fillId="0" borderId="0" xfId="0" applyAlignment="1">
      <alignment horizontal="center"/>
    </xf>
    <xf numFmtId="0" fontId="13" fillId="0" borderId="0" xfId="0" applyFont="1" applyAlignment="1">
      <alignment horizontal="center" vertical="center"/>
    </xf>
    <xf numFmtId="15" fontId="7" fillId="0" borderId="0" xfId="0" applyNumberFormat="1" applyFont="1" applyAlignment="1">
      <alignment horizontal="center" vertical="center"/>
    </xf>
  </cellXfs>
  <cellStyles count="5">
    <cellStyle name="Hyperlink 2" xfId="4" xr:uid="{AECA8018-1535-4C16-BF99-C2D733CADF9A}"/>
    <cellStyle name="Normal" xfId="0" builtinId="0"/>
    <cellStyle name="Normal 2" xfId="2" xr:uid="{BB652EEE-55F8-4D3B-B0B6-A49FC58D2F86}"/>
    <cellStyle name="Percent" xfId="1" builtinId="5"/>
    <cellStyle name="Percent 2" xfId="3" xr:uid="{52334C5E-9D3D-4735-B5AB-52138F8D1FC0}"/>
  </cellStyles>
  <dxfs count="66">
    <dxf>
      <fill>
        <patternFill patternType="solid">
          <fgColor rgb="FFB7E1CD"/>
          <bgColor rgb="FFB7E1CD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>
          <bgColor theme="9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65"/>
        </patternFill>
      </fill>
    </dxf>
    <dxf>
      <fill>
        <gradientFill type="path" left="0.5" right="0.5" top="0.5" bottom="0.5">
          <stop position="0">
            <color theme="0"/>
          </stop>
          <stop position="1">
            <color rgb="FFC00000"/>
          </stop>
        </gradientFill>
      </fill>
    </dxf>
    <dxf>
      <fill>
        <patternFill>
          <bgColor rgb="FFFFC000"/>
        </patternFill>
      </fill>
    </dxf>
    <dxf>
      <font>
        <b val="0"/>
        <i val="0"/>
      </font>
      <fill>
        <patternFill>
          <bgColor theme="9" tint="0.39994506668294322"/>
        </patternFill>
      </fill>
    </dxf>
  </dxfs>
  <tableStyles count="0" defaultTableStyle="TableStyleMedium2" defaultPivotStyle="PivotStyleLight16"/>
  <colors>
    <mruColors>
      <color rgb="FFFF4747"/>
      <color rgb="FFFFFF65"/>
      <color rgb="FFF96233"/>
      <color rgb="FFFF0000"/>
      <color rgb="FFFF99FF"/>
      <color rgb="FFC285FF"/>
      <color rgb="FF7C6FEB"/>
      <color rgb="FFEBEBEB"/>
      <color rgb="FF9437FF"/>
      <color rgb="FF18D3D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microsoft.com/office/2017/10/relationships/person" Target="persons/perso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theme" Target="theme/theme1.xml"/><Relationship Id="rId65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'Weekly Finances 2021-2022'!$D$4</c:f>
              <c:strCache>
                <c:ptCount val="1"/>
                <c:pt idx="0">
                  <c:v>Income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'Weekly Finances 2021-2022'!$A$5:$A$40</c:f>
              <c:numCache>
                <c:formatCode>m/d/yyyy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xVal>
          <c:yVal>
            <c:numRef>
              <c:f>'Weekly Finances 2021-2022'!$D$5:$D$40</c:f>
              <c:numCache>
                <c:formatCode>_-[$$-409]* #,##0.00_ ;_-[$$-409]* \-#,##0.00\ ;_-[$$-409]* "-"??_ ;_-@_ 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FC9-406C-8696-7C31DFBD68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9975800"/>
        <c:axId val="429976128"/>
      </c:scatterChart>
      <c:valAx>
        <c:axId val="4299758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9976128"/>
        <c:crosses val="autoZero"/>
        <c:crossBetween val="midCat"/>
      </c:valAx>
      <c:valAx>
        <c:axId val="429976128"/>
        <c:scaling>
          <c:orientation val="minMax"/>
          <c:min val="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$-409]* #,##0.00_ ;_-[$$-409]* \-#,##0.00\ ;_-[$$-409]* &quot;-&quot;??_ ;_-@_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99758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'Weekly Finances 2021-2022'!$B$4</c:f>
              <c:strCache>
                <c:ptCount val="1"/>
                <c:pt idx="0">
                  <c:v>Services sold 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'Weekly Finances 2021-2022'!$A$5:$A$40</c:f>
              <c:numCache>
                <c:formatCode>m/d/yyyy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xVal>
          <c:yVal>
            <c:numRef>
              <c:f>'Weekly Finances 2021-2022'!$B$5:$B$40</c:f>
              <c:numCache>
                <c:formatCode>_-[$$-409]* #,##0.00_ ;_-[$$-409]* \-#,##0.00\ ;_-[$$-409]* "-"??_ ;_-@_ </c:formatCode>
                <c:ptCount val="36"/>
                <c:pt idx="0">
                  <c:v>440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981-4C39-80D4-21B8B30B7F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9975800"/>
        <c:axId val="429976128"/>
      </c:scatterChart>
      <c:valAx>
        <c:axId val="4299758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9976128"/>
        <c:crosses val="autoZero"/>
        <c:crossBetween val="midCat"/>
      </c:valAx>
      <c:valAx>
        <c:axId val="429976128"/>
        <c:scaling>
          <c:orientation val="minMax"/>
          <c:min val="3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$-409]* #,##0.00_ ;_-[$$-409]* \-#,##0.00\ ;_-[$$-409]* &quot;-&quot;??_ ;_-@_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99758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5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22625</xdr:rowOff>
    </xdr:from>
    <xdr:to>
      <xdr:col>0</xdr:col>
      <xdr:colOff>1221315</xdr:colOff>
      <xdr:row>2</xdr:row>
      <xdr:rowOff>30005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-1" t="26619" r="449" b="29837"/>
        <a:stretch/>
      </xdr:blipFill>
      <xdr:spPr>
        <a:xfrm>
          <a:off x="59710" y="22625"/>
          <a:ext cx="1312727" cy="57329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0</xdr:row>
          <xdr:rowOff>166686</xdr:rowOff>
        </xdr:from>
        <xdr:to>
          <xdr:col>4</xdr:col>
          <xdr:colOff>547688</xdr:colOff>
          <xdr:row>2</xdr:row>
          <xdr:rowOff>11905</xdr:rowOff>
        </xdr:to>
        <xdr:sp macro="" textlink="">
          <xdr:nvSpPr>
            <xdr:cNvPr id="7682" name="Button 514" hidden="1">
              <a:extLst>
                <a:ext uri="{63B3BB69-23CF-44E3-9099-C40C66FF867C}">
                  <a14:compatExt spid="_x0000_s7682"/>
                </a:ext>
                <a:ext uri="{FF2B5EF4-FFF2-40B4-BE49-F238E27FC236}">
                  <a16:creationId xmlns:a16="http://schemas.microsoft.com/office/drawing/2014/main" id="{00000000-0008-0000-0000-0000021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5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Save Week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819150</xdr:colOff>
          <xdr:row>0</xdr:row>
          <xdr:rowOff>166687</xdr:rowOff>
        </xdr:from>
        <xdr:to>
          <xdr:col>6</xdr:col>
          <xdr:colOff>571500</xdr:colOff>
          <xdr:row>2</xdr:row>
          <xdr:rowOff>11906</xdr:rowOff>
        </xdr:to>
        <xdr:sp macro="" textlink="">
          <xdr:nvSpPr>
            <xdr:cNvPr id="7767" name="Button 599" hidden="1">
              <a:extLst>
                <a:ext uri="{63B3BB69-23CF-44E3-9099-C40C66FF867C}">
                  <a14:compatExt spid="_x0000_s7767"/>
                </a:ext>
                <a:ext uri="{FF2B5EF4-FFF2-40B4-BE49-F238E27FC236}">
                  <a16:creationId xmlns:a16="http://schemas.microsoft.com/office/drawing/2014/main" id="{00000000-0008-0000-0000-0000571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5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838200</xdr:colOff>
          <xdr:row>0</xdr:row>
          <xdr:rowOff>166688</xdr:rowOff>
        </xdr:from>
        <xdr:to>
          <xdr:col>8</xdr:col>
          <xdr:colOff>597694</xdr:colOff>
          <xdr:row>2</xdr:row>
          <xdr:rowOff>11907</xdr:rowOff>
        </xdr:to>
        <xdr:sp macro="" textlink="">
          <xdr:nvSpPr>
            <xdr:cNvPr id="7768" name="Button 600" hidden="1">
              <a:extLst>
                <a:ext uri="{63B3BB69-23CF-44E3-9099-C40C66FF867C}">
                  <a14:compatExt spid="_x0000_s7768"/>
                </a:ext>
                <a:ext uri="{FF2B5EF4-FFF2-40B4-BE49-F238E27FC236}">
                  <a16:creationId xmlns:a16="http://schemas.microsoft.com/office/drawing/2014/main" id="{00000000-0008-0000-0000-0000581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5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23</xdr:row>
      <xdr:rowOff>163829</xdr:rowOff>
    </xdr:from>
    <xdr:ext cx="8743950" cy="188595"/>
    <xdr:grpSp>
      <xdr:nvGrpSpPr>
        <xdr:cNvPr id="2" name="Shape 2" title="Drawi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 flipV="1">
          <a:off x="0" y="5231129"/>
          <a:ext cx="8743950" cy="188595"/>
          <a:chOff x="-9700" y="678775"/>
          <a:chExt cx="6390000" cy="0"/>
        </a:xfrm>
      </xdr:grpSpPr>
      <xdr:cxnSp macro="">
        <xdr:nvCxnSpPr>
          <xdr:cNvPr id="3" name="Shape 3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CxnSpPr/>
        </xdr:nvCxnSpPr>
        <xdr:spPr>
          <a:xfrm>
            <a:off x="-9700" y="678775"/>
            <a:ext cx="6390000" cy="0"/>
          </a:xfrm>
          <a:prstGeom prst="straightConnector1">
            <a:avLst/>
          </a:prstGeom>
          <a:noFill/>
          <a:ln w="9525" cap="flat" cmpd="sng">
            <a:solidFill>
              <a:srgbClr val="CCCCCC"/>
            </a:solidFill>
            <a:prstDash val="solid"/>
            <a:round/>
            <a:headEnd type="none" w="med" len="med"/>
            <a:tailEnd type="none" w="med" len="med"/>
          </a:ln>
        </xdr:spPr>
      </xdr:cxnSp>
    </xdr:grpSp>
    <xdr:clientData fLocksWithSheet="0"/>
  </xdr:oneCellAnchor>
  <xdr:oneCellAnchor>
    <xdr:from>
      <xdr:col>4</xdr:col>
      <xdr:colOff>647701</xdr:colOff>
      <xdr:row>0</xdr:row>
      <xdr:rowOff>209550</xdr:rowOff>
    </xdr:from>
    <xdr:ext cx="2900528" cy="1362075"/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4604" b="28590"/>
        <a:stretch/>
      </xdr:blipFill>
      <xdr:spPr>
        <a:xfrm>
          <a:off x="4086226" y="209550"/>
          <a:ext cx="2900528" cy="1362075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23</xdr:row>
      <xdr:rowOff>163829</xdr:rowOff>
    </xdr:from>
    <xdr:ext cx="8743950" cy="188595"/>
    <xdr:grpSp>
      <xdr:nvGrpSpPr>
        <xdr:cNvPr id="2" name="Shape 2" title="Drawing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 flipV="1">
          <a:off x="0" y="5167071"/>
          <a:ext cx="8743950" cy="188595"/>
          <a:chOff x="-9700" y="678775"/>
          <a:chExt cx="6390000" cy="0"/>
        </a:xfrm>
      </xdr:grpSpPr>
      <xdr:cxnSp macro="">
        <xdr:nvCxnSpPr>
          <xdr:cNvPr id="3" name="Shape 3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CxnSpPr/>
        </xdr:nvCxnSpPr>
        <xdr:spPr>
          <a:xfrm>
            <a:off x="-9700" y="678775"/>
            <a:ext cx="6390000" cy="0"/>
          </a:xfrm>
          <a:prstGeom prst="straightConnector1">
            <a:avLst/>
          </a:prstGeom>
          <a:noFill/>
          <a:ln w="9525" cap="flat" cmpd="sng">
            <a:solidFill>
              <a:srgbClr val="CCCCCC"/>
            </a:solidFill>
            <a:prstDash val="solid"/>
            <a:round/>
            <a:headEnd type="none" w="med" len="med"/>
            <a:tailEnd type="none" w="med" len="med"/>
          </a:ln>
        </xdr:spPr>
      </xdr:cxnSp>
    </xdr:grpSp>
    <xdr:clientData fLocksWithSheet="0"/>
  </xdr:oneCellAnchor>
  <xdr:oneCellAnchor>
    <xdr:from>
      <xdr:col>4</xdr:col>
      <xdr:colOff>647701</xdr:colOff>
      <xdr:row>0</xdr:row>
      <xdr:rowOff>209550</xdr:rowOff>
    </xdr:from>
    <xdr:ext cx="2900528" cy="1362075"/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4604" b="28590"/>
        <a:stretch/>
      </xdr:blipFill>
      <xdr:spPr>
        <a:xfrm>
          <a:off x="4086226" y="209550"/>
          <a:ext cx="2900528" cy="1362075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137583</xdr:colOff>
      <xdr:row>24</xdr:row>
      <xdr:rowOff>117263</xdr:rowOff>
    </xdr:from>
    <xdr:ext cx="8277225" cy="74294"/>
    <xdr:grpSp>
      <xdr:nvGrpSpPr>
        <xdr:cNvPr id="2" name="Shape 2" title="Drawing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 flipV="1">
          <a:off x="137583" y="4803563"/>
          <a:ext cx="8277225" cy="74294"/>
          <a:chOff x="-9700" y="678775"/>
          <a:chExt cx="6390000" cy="0"/>
        </a:xfrm>
      </xdr:grpSpPr>
      <xdr:cxnSp macro="">
        <xdr:nvCxnSpPr>
          <xdr:cNvPr id="3" name="Shape 3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CxnSpPr/>
        </xdr:nvCxnSpPr>
        <xdr:spPr>
          <a:xfrm>
            <a:off x="-9700" y="678775"/>
            <a:ext cx="6390000" cy="0"/>
          </a:xfrm>
          <a:prstGeom prst="straightConnector1">
            <a:avLst/>
          </a:prstGeom>
          <a:noFill/>
          <a:ln w="9525" cap="flat" cmpd="sng">
            <a:solidFill>
              <a:srgbClr val="CCCCCC"/>
            </a:solidFill>
            <a:prstDash val="solid"/>
            <a:round/>
            <a:headEnd type="none" w="med" len="med"/>
            <a:tailEnd type="none" w="med" len="med"/>
          </a:ln>
        </xdr:spPr>
      </xdr:cxnSp>
    </xdr:grpSp>
    <xdr:clientData fLocksWithSheet="0"/>
  </xdr:oneCellAnchor>
  <xdr:twoCellAnchor editAs="oneCell">
    <xdr:from>
      <xdr:col>4</xdr:col>
      <xdr:colOff>647701</xdr:colOff>
      <xdr:row>0</xdr:row>
      <xdr:rowOff>209550</xdr:rowOff>
    </xdr:from>
    <xdr:to>
      <xdr:col>7</xdr:col>
      <xdr:colOff>603347</xdr:colOff>
      <xdr:row>7</xdr:row>
      <xdr:rowOff>64880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4604" b="28590"/>
        <a:stretch/>
      </xdr:blipFill>
      <xdr:spPr>
        <a:xfrm>
          <a:off x="3971926" y="209550"/>
          <a:ext cx="2908396" cy="136028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23</xdr:row>
      <xdr:rowOff>106680</xdr:rowOff>
    </xdr:from>
    <xdr:ext cx="8277225" cy="74294"/>
    <xdr:grpSp>
      <xdr:nvGrpSpPr>
        <xdr:cNvPr id="2" name="Shape 2" title="Drawing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 flipV="1">
          <a:off x="0" y="5198892"/>
          <a:ext cx="8277225" cy="74294"/>
          <a:chOff x="-9700" y="678775"/>
          <a:chExt cx="6390000" cy="0"/>
        </a:xfrm>
      </xdr:grpSpPr>
      <xdr:cxnSp macro="">
        <xdr:nvCxnSpPr>
          <xdr:cNvPr id="3" name="Shape 3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CxnSpPr/>
        </xdr:nvCxnSpPr>
        <xdr:spPr>
          <a:xfrm>
            <a:off x="-9700" y="678775"/>
            <a:ext cx="6390000" cy="0"/>
          </a:xfrm>
          <a:prstGeom prst="straightConnector1">
            <a:avLst/>
          </a:prstGeom>
          <a:noFill/>
          <a:ln w="9525" cap="flat" cmpd="sng">
            <a:solidFill>
              <a:srgbClr val="CCCCCC"/>
            </a:solidFill>
            <a:prstDash val="solid"/>
            <a:round/>
            <a:headEnd type="none" w="med" len="med"/>
            <a:tailEnd type="none" w="med" len="med"/>
          </a:ln>
        </xdr:spPr>
      </xdr:cxnSp>
    </xdr:grpSp>
    <xdr:clientData fLocksWithSheet="0"/>
  </xdr:oneCellAnchor>
  <xdr:twoCellAnchor editAs="oneCell">
    <xdr:from>
      <xdr:col>4</xdr:col>
      <xdr:colOff>647701</xdr:colOff>
      <xdr:row>0</xdr:row>
      <xdr:rowOff>209550</xdr:rowOff>
    </xdr:from>
    <xdr:to>
      <xdr:col>7</xdr:col>
      <xdr:colOff>691270</xdr:colOff>
      <xdr:row>6</xdr:row>
      <xdr:rowOff>91108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4604" b="28590"/>
        <a:stretch/>
      </xdr:blipFill>
      <xdr:spPr>
        <a:xfrm>
          <a:off x="3971926" y="209550"/>
          <a:ext cx="2910594" cy="122458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488</xdr:colOff>
      <xdr:row>23</xdr:row>
      <xdr:rowOff>310367</xdr:rowOff>
    </xdr:from>
    <xdr:ext cx="9182100" cy="245746"/>
    <xdr:grpSp>
      <xdr:nvGrpSpPr>
        <xdr:cNvPr id="2" name="Shape 2" title="Drawing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 flipV="1">
          <a:off x="359507" y="5395252"/>
          <a:ext cx="9182100" cy="245746"/>
          <a:chOff x="-9700" y="678775"/>
          <a:chExt cx="6390000" cy="0"/>
        </a:xfrm>
      </xdr:grpSpPr>
      <xdr:cxnSp macro="">
        <xdr:nvCxnSpPr>
          <xdr:cNvPr id="3" name="Shape 3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CxnSpPr/>
        </xdr:nvCxnSpPr>
        <xdr:spPr>
          <a:xfrm>
            <a:off x="-9700" y="678775"/>
            <a:ext cx="6390000" cy="0"/>
          </a:xfrm>
          <a:prstGeom prst="straightConnector1">
            <a:avLst/>
          </a:prstGeom>
          <a:noFill/>
          <a:ln w="9525" cap="flat" cmpd="sng">
            <a:solidFill>
              <a:srgbClr val="CCCCCC"/>
            </a:solidFill>
            <a:prstDash val="solid"/>
            <a:round/>
            <a:headEnd type="none" w="med" len="med"/>
            <a:tailEnd type="none" w="med" len="med"/>
          </a:ln>
        </xdr:spPr>
      </xdr:cxnSp>
    </xdr:grpSp>
    <xdr:clientData fLocksWithSheet="0"/>
  </xdr:oneCellAnchor>
  <xdr:twoCellAnchor editAs="oneCell">
    <xdr:from>
      <xdr:col>4</xdr:col>
      <xdr:colOff>647701</xdr:colOff>
      <xdr:row>0</xdr:row>
      <xdr:rowOff>209550</xdr:rowOff>
    </xdr:from>
    <xdr:to>
      <xdr:col>7</xdr:col>
      <xdr:colOff>450406</xdr:colOff>
      <xdr:row>6</xdr:row>
      <xdr:rowOff>228600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4604" b="28590"/>
        <a:stretch/>
      </xdr:blipFill>
      <xdr:spPr>
        <a:xfrm>
          <a:off x="4476751" y="209550"/>
          <a:ext cx="2955480" cy="13620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23</xdr:row>
      <xdr:rowOff>106675</xdr:rowOff>
    </xdr:from>
    <xdr:ext cx="9831917" cy="350523"/>
    <xdr:grpSp>
      <xdr:nvGrpSpPr>
        <xdr:cNvPr id="2" name="Shape 2" title="Drawing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 flipV="1">
          <a:off x="0" y="5170800"/>
          <a:ext cx="9831917" cy="350523"/>
          <a:chOff x="-9700" y="678775"/>
          <a:chExt cx="6390000" cy="0"/>
        </a:xfrm>
      </xdr:grpSpPr>
      <xdr:cxnSp macro="">
        <xdr:nvCxnSpPr>
          <xdr:cNvPr id="3" name="Shape 3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CxnSpPr/>
        </xdr:nvCxnSpPr>
        <xdr:spPr>
          <a:xfrm>
            <a:off x="-9700" y="678775"/>
            <a:ext cx="6390000" cy="0"/>
          </a:xfrm>
          <a:prstGeom prst="straightConnector1">
            <a:avLst/>
          </a:prstGeom>
          <a:noFill/>
          <a:ln w="9525" cap="flat" cmpd="sng">
            <a:solidFill>
              <a:srgbClr val="CCCCCC"/>
            </a:solidFill>
            <a:prstDash val="solid"/>
            <a:round/>
            <a:headEnd type="none" w="med" len="med"/>
            <a:tailEnd type="none" w="med" len="med"/>
          </a:ln>
        </xdr:spPr>
      </xdr:cxnSp>
    </xdr:grpSp>
    <xdr:clientData fLocksWithSheet="0"/>
  </xdr:oneCellAnchor>
  <xdr:twoCellAnchor editAs="oneCell">
    <xdr:from>
      <xdr:col>4</xdr:col>
      <xdr:colOff>647701</xdr:colOff>
      <xdr:row>0</xdr:row>
      <xdr:rowOff>209550</xdr:rowOff>
    </xdr:from>
    <xdr:to>
      <xdr:col>7</xdr:col>
      <xdr:colOff>404979</xdr:colOff>
      <xdr:row>6</xdr:row>
      <xdr:rowOff>228600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4604" b="28590"/>
        <a:stretch/>
      </xdr:blipFill>
      <xdr:spPr>
        <a:xfrm>
          <a:off x="4581526" y="209550"/>
          <a:ext cx="2910053" cy="136207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488</xdr:colOff>
      <xdr:row>23</xdr:row>
      <xdr:rowOff>310367</xdr:rowOff>
    </xdr:from>
    <xdr:ext cx="9182100" cy="245746"/>
    <xdr:grpSp>
      <xdr:nvGrpSpPr>
        <xdr:cNvPr id="2" name="Shape 2" title="Drawing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pSpPr/>
      </xdr:nvGrpSpPr>
      <xdr:grpSpPr>
        <a:xfrm flipV="1">
          <a:off x="359507" y="5395252"/>
          <a:ext cx="9182100" cy="245746"/>
          <a:chOff x="-9700" y="678775"/>
          <a:chExt cx="6390000" cy="0"/>
        </a:xfrm>
      </xdr:grpSpPr>
      <xdr:cxnSp macro="">
        <xdr:nvCxnSpPr>
          <xdr:cNvPr id="3" name="Shape 3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CxnSpPr/>
        </xdr:nvCxnSpPr>
        <xdr:spPr>
          <a:xfrm>
            <a:off x="-9700" y="678775"/>
            <a:ext cx="6390000" cy="0"/>
          </a:xfrm>
          <a:prstGeom prst="straightConnector1">
            <a:avLst/>
          </a:prstGeom>
          <a:noFill/>
          <a:ln w="9525" cap="flat" cmpd="sng">
            <a:solidFill>
              <a:srgbClr val="CCCCCC"/>
            </a:solidFill>
            <a:prstDash val="solid"/>
            <a:round/>
            <a:headEnd type="none" w="med" len="med"/>
            <a:tailEnd type="none" w="med" len="med"/>
          </a:ln>
        </xdr:spPr>
      </xdr:cxnSp>
    </xdr:grpSp>
    <xdr:clientData fLocksWithSheet="0"/>
  </xdr:oneCellAnchor>
  <xdr:twoCellAnchor editAs="oneCell">
    <xdr:from>
      <xdr:col>4</xdr:col>
      <xdr:colOff>647701</xdr:colOff>
      <xdr:row>0</xdr:row>
      <xdr:rowOff>209550</xdr:rowOff>
    </xdr:from>
    <xdr:to>
      <xdr:col>7</xdr:col>
      <xdr:colOff>450406</xdr:colOff>
      <xdr:row>6</xdr:row>
      <xdr:rowOff>228600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4604" b="28590"/>
        <a:stretch/>
      </xdr:blipFill>
      <xdr:spPr>
        <a:xfrm>
          <a:off x="4476751" y="209550"/>
          <a:ext cx="2955480" cy="136207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39076</xdr:colOff>
      <xdr:row>23</xdr:row>
      <xdr:rowOff>300597</xdr:rowOff>
    </xdr:from>
    <xdr:ext cx="9182100" cy="245746"/>
    <xdr:grpSp>
      <xdr:nvGrpSpPr>
        <xdr:cNvPr id="2" name="Shape 2" title="Drawing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pSpPr/>
      </xdr:nvGrpSpPr>
      <xdr:grpSpPr>
        <a:xfrm flipV="1">
          <a:off x="402758" y="5383483"/>
          <a:ext cx="9182100" cy="245746"/>
          <a:chOff x="-9700" y="678775"/>
          <a:chExt cx="6390000" cy="0"/>
        </a:xfrm>
      </xdr:grpSpPr>
      <xdr:cxnSp macro="">
        <xdr:nvCxnSpPr>
          <xdr:cNvPr id="3" name="Shape 3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CxnSpPr/>
        </xdr:nvCxnSpPr>
        <xdr:spPr>
          <a:xfrm>
            <a:off x="-9700" y="678775"/>
            <a:ext cx="6390000" cy="0"/>
          </a:xfrm>
          <a:prstGeom prst="straightConnector1">
            <a:avLst/>
          </a:prstGeom>
          <a:noFill/>
          <a:ln w="9525" cap="flat" cmpd="sng">
            <a:solidFill>
              <a:srgbClr val="CCCCCC"/>
            </a:solidFill>
            <a:prstDash val="solid"/>
            <a:round/>
            <a:headEnd type="none" w="med" len="med"/>
            <a:tailEnd type="none" w="med" len="med"/>
          </a:ln>
        </xdr:spPr>
      </xdr:cxnSp>
    </xdr:grpSp>
    <xdr:clientData fLocksWithSheet="0"/>
  </xdr:oneCellAnchor>
  <xdr:twoCellAnchor editAs="oneCell">
    <xdr:from>
      <xdr:col>4</xdr:col>
      <xdr:colOff>647701</xdr:colOff>
      <xdr:row>0</xdr:row>
      <xdr:rowOff>209550</xdr:rowOff>
    </xdr:from>
    <xdr:to>
      <xdr:col>7</xdr:col>
      <xdr:colOff>157329</xdr:colOff>
      <xdr:row>6</xdr:row>
      <xdr:rowOff>228600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4604" b="28590"/>
        <a:stretch/>
      </xdr:blipFill>
      <xdr:spPr>
        <a:xfrm>
          <a:off x="4476751" y="209550"/>
          <a:ext cx="2910053" cy="1362075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14432</xdr:colOff>
      <xdr:row>23</xdr:row>
      <xdr:rowOff>164407</xdr:rowOff>
    </xdr:from>
    <xdr:ext cx="8277225" cy="74294"/>
    <xdr:grpSp>
      <xdr:nvGrpSpPr>
        <xdr:cNvPr id="2" name="Shape 2" title="Drawing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pSpPr/>
      </xdr:nvGrpSpPr>
      <xdr:grpSpPr>
        <a:xfrm flipV="1">
          <a:off x="14432" y="5100089"/>
          <a:ext cx="8277225" cy="74294"/>
          <a:chOff x="-9700" y="678775"/>
          <a:chExt cx="6390000" cy="0"/>
        </a:xfrm>
      </xdr:grpSpPr>
      <xdr:cxnSp macro="">
        <xdr:nvCxnSpPr>
          <xdr:cNvPr id="3" name="Shape 3">
            <a:extLst>
              <a:ext uri="{FF2B5EF4-FFF2-40B4-BE49-F238E27FC236}">
                <a16:creationId xmlns:a16="http://schemas.microsoft.com/office/drawing/2014/main" id="{00000000-0008-0000-0900-000003000000}"/>
              </a:ext>
            </a:extLst>
          </xdr:cNvPr>
          <xdr:cNvCxnSpPr/>
        </xdr:nvCxnSpPr>
        <xdr:spPr>
          <a:xfrm>
            <a:off x="-9700" y="678775"/>
            <a:ext cx="6390000" cy="0"/>
          </a:xfrm>
          <a:prstGeom prst="straightConnector1">
            <a:avLst/>
          </a:prstGeom>
          <a:noFill/>
          <a:ln w="9525" cap="flat" cmpd="sng">
            <a:solidFill>
              <a:srgbClr val="CCCCCC"/>
            </a:solidFill>
            <a:prstDash val="solid"/>
            <a:round/>
            <a:headEnd type="none" w="med" len="med"/>
            <a:tailEnd type="none" w="med" len="med"/>
          </a:ln>
        </xdr:spPr>
      </xdr:cxnSp>
    </xdr:grpSp>
    <xdr:clientData fLocksWithSheet="0"/>
  </xdr:oneCellAnchor>
  <xdr:twoCellAnchor editAs="oneCell">
    <xdr:from>
      <xdr:col>4</xdr:col>
      <xdr:colOff>647701</xdr:colOff>
      <xdr:row>0</xdr:row>
      <xdr:rowOff>209550</xdr:rowOff>
    </xdr:from>
    <xdr:to>
      <xdr:col>7</xdr:col>
      <xdr:colOff>754159</xdr:colOff>
      <xdr:row>6</xdr:row>
      <xdr:rowOff>223630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4604" b="28590"/>
        <a:stretch/>
      </xdr:blipFill>
      <xdr:spPr>
        <a:xfrm>
          <a:off x="3971926" y="209550"/>
          <a:ext cx="2906808" cy="1357105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166077</xdr:colOff>
      <xdr:row>23</xdr:row>
      <xdr:rowOff>194602</xdr:rowOff>
    </xdr:from>
    <xdr:ext cx="9476154" cy="313397"/>
    <xdr:grpSp>
      <xdr:nvGrpSpPr>
        <xdr:cNvPr id="2" name="Shape 2" title="Drawing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pSpPr/>
      </xdr:nvGrpSpPr>
      <xdr:grpSpPr>
        <a:xfrm flipV="1">
          <a:off x="166077" y="5266665"/>
          <a:ext cx="9476154" cy="313397"/>
          <a:chOff x="-9700" y="678775"/>
          <a:chExt cx="6390000" cy="0"/>
        </a:xfrm>
      </xdr:grpSpPr>
      <xdr:cxnSp macro="">
        <xdr:nvCxnSpPr>
          <xdr:cNvPr id="3" name="Shape 3">
            <a:extLst>
              <a:ext uri="{FF2B5EF4-FFF2-40B4-BE49-F238E27FC236}">
                <a16:creationId xmlns:a16="http://schemas.microsoft.com/office/drawing/2014/main" id="{00000000-0008-0000-0A00-000003000000}"/>
              </a:ext>
            </a:extLst>
          </xdr:cNvPr>
          <xdr:cNvCxnSpPr/>
        </xdr:nvCxnSpPr>
        <xdr:spPr>
          <a:xfrm>
            <a:off x="-9700" y="678775"/>
            <a:ext cx="6390000" cy="0"/>
          </a:xfrm>
          <a:prstGeom prst="straightConnector1">
            <a:avLst/>
          </a:prstGeom>
          <a:noFill/>
          <a:ln w="9525" cap="flat" cmpd="sng">
            <a:solidFill>
              <a:srgbClr val="CCCCCC"/>
            </a:solidFill>
            <a:prstDash val="solid"/>
            <a:round/>
            <a:headEnd type="none" w="med" len="med"/>
            <a:tailEnd type="none" w="med" len="med"/>
          </a:ln>
        </xdr:spPr>
      </xdr:cxnSp>
    </xdr:grpSp>
    <xdr:clientData fLocksWithSheet="0"/>
  </xdr:oneCellAnchor>
  <xdr:twoCellAnchor editAs="oneCell">
    <xdr:from>
      <xdr:col>4</xdr:col>
      <xdr:colOff>647701</xdr:colOff>
      <xdr:row>0</xdr:row>
      <xdr:rowOff>209550</xdr:rowOff>
    </xdr:from>
    <xdr:to>
      <xdr:col>7</xdr:col>
      <xdr:colOff>691269</xdr:colOff>
      <xdr:row>6</xdr:row>
      <xdr:rowOff>91108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4604" b="28590"/>
        <a:stretch/>
      </xdr:blipFill>
      <xdr:spPr>
        <a:xfrm>
          <a:off x="5248276" y="209550"/>
          <a:ext cx="2910593" cy="1224583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23</xdr:row>
      <xdr:rowOff>106680</xdr:rowOff>
    </xdr:from>
    <xdr:ext cx="8277225" cy="74294"/>
    <xdr:grpSp>
      <xdr:nvGrpSpPr>
        <xdr:cNvPr id="2" name="Shape 2" title="Drawing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pSpPr/>
      </xdr:nvGrpSpPr>
      <xdr:grpSpPr>
        <a:xfrm flipV="1">
          <a:off x="0" y="5198892"/>
          <a:ext cx="8277225" cy="74294"/>
          <a:chOff x="-9700" y="678775"/>
          <a:chExt cx="6390000" cy="0"/>
        </a:xfrm>
      </xdr:grpSpPr>
      <xdr:cxnSp macro="">
        <xdr:nvCxnSpPr>
          <xdr:cNvPr id="3" name="Shape 3">
            <a:extLst>
              <a:ext uri="{FF2B5EF4-FFF2-40B4-BE49-F238E27FC236}">
                <a16:creationId xmlns:a16="http://schemas.microsoft.com/office/drawing/2014/main" id="{00000000-0008-0000-0B00-000003000000}"/>
              </a:ext>
            </a:extLst>
          </xdr:cNvPr>
          <xdr:cNvCxnSpPr/>
        </xdr:nvCxnSpPr>
        <xdr:spPr>
          <a:xfrm>
            <a:off x="-9700" y="678775"/>
            <a:ext cx="6390000" cy="0"/>
          </a:xfrm>
          <a:prstGeom prst="straightConnector1">
            <a:avLst/>
          </a:prstGeom>
          <a:noFill/>
          <a:ln w="9525" cap="flat" cmpd="sng">
            <a:solidFill>
              <a:srgbClr val="CCCCCC"/>
            </a:solidFill>
            <a:prstDash val="solid"/>
            <a:round/>
            <a:headEnd type="none" w="med" len="med"/>
            <a:tailEnd type="none" w="med" len="med"/>
          </a:ln>
        </xdr:spPr>
      </xdr:cxnSp>
    </xdr:grpSp>
    <xdr:clientData fLocksWithSheet="0"/>
  </xdr:oneCellAnchor>
  <xdr:twoCellAnchor editAs="oneCell">
    <xdr:from>
      <xdr:col>4</xdr:col>
      <xdr:colOff>647701</xdr:colOff>
      <xdr:row>0</xdr:row>
      <xdr:rowOff>209550</xdr:rowOff>
    </xdr:from>
    <xdr:to>
      <xdr:col>7</xdr:col>
      <xdr:colOff>691270</xdr:colOff>
      <xdr:row>6</xdr:row>
      <xdr:rowOff>91108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4604" b="28590"/>
        <a:stretch/>
      </xdr:blipFill>
      <xdr:spPr>
        <a:xfrm>
          <a:off x="3971926" y="209550"/>
          <a:ext cx="2910594" cy="1224583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231913</xdr:colOff>
      <xdr:row>24</xdr:row>
      <xdr:rowOff>117723</xdr:rowOff>
    </xdr:from>
    <xdr:ext cx="8277225" cy="74294"/>
    <xdr:grpSp>
      <xdr:nvGrpSpPr>
        <xdr:cNvPr id="2" name="Shape 2" title="Drawing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pSpPr/>
      </xdr:nvGrpSpPr>
      <xdr:grpSpPr>
        <a:xfrm flipV="1">
          <a:off x="231913" y="5476571"/>
          <a:ext cx="8277225" cy="74294"/>
          <a:chOff x="-9700" y="678775"/>
          <a:chExt cx="6390000" cy="0"/>
        </a:xfrm>
      </xdr:grpSpPr>
      <xdr:cxnSp macro="">
        <xdr:nvCxnSpPr>
          <xdr:cNvPr id="3" name="Shape 3">
            <a:extLst>
              <a:ext uri="{FF2B5EF4-FFF2-40B4-BE49-F238E27FC236}">
                <a16:creationId xmlns:a16="http://schemas.microsoft.com/office/drawing/2014/main" id="{00000000-0008-0000-0C00-000003000000}"/>
              </a:ext>
            </a:extLst>
          </xdr:cNvPr>
          <xdr:cNvCxnSpPr/>
        </xdr:nvCxnSpPr>
        <xdr:spPr>
          <a:xfrm>
            <a:off x="-9700" y="678775"/>
            <a:ext cx="6390000" cy="0"/>
          </a:xfrm>
          <a:prstGeom prst="straightConnector1">
            <a:avLst/>
          </a:prstGeom>
          <a:noFill/>
          <a:ln w="9525" cap="flat" cmpd="sng">
            <a:solidFill>
              <a:srgbClr val="CCCCCC"/>
            </a:solidFill>
            <a:prstDash val="solid"/>
            <a:round/>
            <a:headEnd type="none" w="med" len="med"/>
            <a:tailEnd type="none" w="med" len="med"/>
          </a:ln>
        </xdr:spPr>
      </xdr:cxnSp>
    </xdr:grpSp>
    <xdr:clientData fLocksWithSheet="0"/>
  </xdr:oneCellAnchor>
  <xdr:twoCellAnchor editAs="oneCell">
    <xdr:from>
      <xdr:col>4</xdr:col>
      <xdr:colOff>647701</xdr:colOff>
      <xdr:row>0</xdr:row>
      <xdr:rowOff>209550</xdr:rowOff>
    </xdr:from>
    <xdr:to>
      <xdr:col>8</xdr:col>
      <xdr:colOff>164369</xdr:colOff>
      <xdr:row>6</xdr:row>
      <xdr:rowOff>223630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4604" b="28590"/>
        <a:stretch/>
      </xdr:blipFill>
      <xdr:spPr>
        <a:xfrm>
          <a:off x="4867276" y="209550"/>
          <a:ext cx="2898043" cy="1357105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23</xdr:row>
      <xdr:rowOff>106680</xdr:rowOff>
    </xdr:from>
    <xdr:ext cx="8890000" cy="274320"/>
    <xdr:grpSp>
      <xdr:nvGrpSpPr>
        <xdr:cNvPr id="2" name="Shape 2" title="Drawing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pSpPr/>
      </xdr:nvGrpSpPr>
      <xdr:grpSpPr>
        <a:xfrm flipV="1">
          <a:off x="0" y="5012055"/>
          <a:ext cx="8890000" cy="274320"/>
          <a:chOff x="-9700" y="678775"/>
          <a:chExt cx="6390000" cy="0"/>
        </a:xfrm>
      </xdr:grpSpPr>
      <xdr:cxnSp macro="">
        <xdr:nvCxnSpPr>
          <xdr:cNvPr id="3" name="Shape 3">
            <a:extLst>
              <a:ext uri="{FF2B5EF4-FFF2-40B4-BE49-F238E27FC236}">
                <a16:creationId xmlns:a16="http://schemas.microsoft.com/office/drawing/2014/main" id="{00000000-0008-0000-0D00-000003000000}"/>
              </a:ext>
            </a:extLst>
          </xdr:cNvPr>
          <xdr:cNvCxnSpPr/>
        </xdr:nvCxnSpPr>
        <xdr:spPr>
          <a:xfrm>
            <a:off x="-9700" y="678775"/>
            <a:ext cx="6390000" cy="0"/>
          </a:xfrm>
          <a:prstGeom prst="straightConnector1">
            <a:avLst/>
          </a:prstGeom>
          <a:noFill/>
          <a:ln w="9525" cap="flat" cmpd="sng">
            <a:solidFill>
              <a:srgbClr val="CCCCCC"/>
            </a:solidFill>
            <a:prstDash val="solid"/>
            <a:round/>
            <a:headEnd type="none" w="med" len="med"/>
            <a:tailEnd type="none" w="med" len="med"/>
          </a:ln>
        </xdr:spPr>
      </xdr:cxnSp>
    </xdr:grpSp>
    <xdr:clientData fLocksWithSheet="0"/>
  </xdr:oneCellAnchor>
  <xdr:twoCellAnchor editAs="oneCell">
    <xdr:from>
      <xdr:col>4</xdr:col>
      <xdr:colOff>647701</xdr:colOff>
      <xdr:row>0</xdr:row>
      <xdr:rowOff>209550</xdr:rowOff>
    </xdr:from>
    <xdr:to>
      <xdr:col>8</xdr:col>
      <xdr:colOff>63597</xdr:colOff>
      <xdr:row>6</xdr:row>
      <xdr:rowOff>223630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4604" b="28590"/>
        <a:stretch/>
      </xdr:blipFill>
      <xdr:spPr>
        <a:xfrm>
          <a:off x="4724401" y="209550"/>
          <a:ext cx="2911571" cy="1357105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185615</xdr:colOff>
      <xdr:row>23</xdr:row>
      <xdr:rowOff>252972</xdr:rowOff>
    </xdr:from>
    <xdr:ext cx="8705850" cy="274322"/>
    <xdr:grpSp>
      <xdr:nvGrpSpPr>
        <xdr:cNvPr id="2" name="Shape 2" title="Drawing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pSpPr/>
      </xdr:nvGrpSpPr>
      <xdr:grpSpPr>
        <a:xfrm flipV="1">
          <a:off x="412750" y="5337857"/>
          <a:ext cx="8705850" cy="274322"/>
          <a:chOff x="-9700" y="678775"/>
          <a:chExt cx="6390000" cy="0"/>
        </a:xfrm>
      </xdr:grpSpPr>
      <xdr:cxnSp macro="">
        <xdr:nvCxnSpPr>
          <xdr:cNvPr id="3" name="Shape 3">
            <a:extLst>
              <a:ext uri="{FF2B5EF4-FFF2-40B4-BE49-F238E27FC236}">
                <a16:creationId xmlns:a16="http://schemas.microsoft.com/office/drawing/2014/main" id="{00000000-0008-0000-0E00-000003000000}"/>
              </a:ext>
            </a:extLst>
          </xdr:cNvPr>
          <xdr:cNvCxnSpPr/>
        </xdr:nvCxnSpPr>
        <xdr:spPr>
          <a:xfrm>
            <a:off x="-9700" y="678775"/>
            <a:ext cx="6390000" cy="0"/>
          </a:xfrm>
          <a:prstGeom prst="straightConnector1">
            <a:avLst/>
          </a:prstGeom>
          <a:noFill/>
          <a:ln w="9525" cap="flat" cmpd="sng">
            <a:solidFill>
              <a:srgbClr val="CCCCCC"/>
            </a:solidFill>
            <a:prstDash val="solid"/>
            <a:round/>
            <a:headEnd type="none" w="med" len="med"/>
            <a:tailEnd type="none" w="med" len="med"/>
          </a:ln>
        </xdr:spPr>
      </xdr:cxnSp>
    </xdr:grpSp>
    <xdr:clientData fLocksWithSheet="0"/>
  </xdr:oneCellAnchor>
  <xdr:twoCellAnchor editAs="oneCell">
    <xdr:from>
      <xdr:col>4</xdr:col>
      <xdr:colOff>647701</xdr:colOff>
      <xdr:row>0</xdr:row>
      <xdr:rowOff>209550</xdr:rowOff>
    </xdr:from>
    <xdr:to>
      <xdr:col>7</xdr:col>
      <xdr:colOff>404979</xdr:colOff>
      <xdr:row>6</xdr:row>
      <xdr:rowOff>76200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4604" b="28590"/>
        <a:stretch/>
      </xdr:blipFill>
      <xdr:spPr>
        <a:xfrm>
          <a:off x="4581526" y="209550"/>
          <a:ext cx="2910053" cy="1209675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23</xdr:row>
      <xdr:rowOff>106677</xdr:rowOff>
    </xdr:from>
    <xdr:ext cx="9220200" cy="452122"/>
    <xdr:grpSp>
      <xdr:nvGrpSpPr>
        <xdr:cNvPr id="2" name="Shape 2" title="Drawing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pSpPr/>
      </xdr:nvGrpSpPr>
      <xdr:grpSpPr>
        <a:xfrm flipV="1">
          <a:off x="228600" y="5173977"/>
          <a:ext cx="9220200" cy="452122"/>
          <a:chOff x="-9700" y="678775"/>
          <a:chExt cx="6390000" cy="0"/>
        </a:xfrm>
      </xdr:grpSpPr>
      <xdr:cxnSp macro="">
        <xdr:nvCxnSpPr>
          <xdr:cNvPr id="3" name="Shape 3">
            <a:extLst>
              <a:ext uri="{FF2B5EF4-FFF2-40B4-BE49-F238E27FC236}">
                <a16:creationId xmlns:a16="http://schemas.microsoft.com/office/drawing/2014/main" id="{00000000-0008-0000-0F00-000003000000}"/>
              </a:ext>
            </a:extLst>
          </xdr:cNvPr>
          <xdr:cNvCxnSpPr/>
        </xdr:nvCxnSpPr>
        <xdr:spPr>
          <a:xfrm>
            <a:off x="-9700" y="678775"/>
            <a:ext cx="6390000" cy="0"/>
          </a:xfrm>
          <a:prstGeom prst="straightConnector1">
            <a:avLst/>
          </a:prstGeom>
          <a:noFill/>
          <a:ln w="9525" cap="flat" cmpd="sng">
            <a:solidFill>
              <a:srgbClr val="CCCCCC"/>
            </a:solidFill>
            <a:prstDash val="solid"/>
            <a:round/>
            <a:headEnd type="none" w="med" len="med"/>
            <a:tailEnd type="none" w="med" len="med"/>
          </a:ln>
        </xdr:spPr>
      </xdr:cxnSp>
    </xdr:grpSp>
    <xdr:clientData fLocksWithSheet="0"/>
  </xdr:oneCellAnchor>
  <xdr:twoCellAnchor editAs="oneCell">
    <xdr:from>
      <xdr:col>4</xdr:col>
      <xdr:colOff>647701</xdr:colOff>
      <xdr:row>0</xdr:row>
      <xdr:rowOff>209550</xdr:rowOff>
    </xdr:from>
    <xdr:to>
      <xdr:col>7</xdr:col>
      <xdr:colOff>404979</xdr:colOff>
      <xdr:row>6</xdr:row>
      <xdr:rowOff>76200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4604" b="28590"/>
        <a:stretch/>
      </xdr:blipFill>
      <xdr:spPr>
        <a:xfrm>
          <a:off x="4581526" y="209550"/>
          <a:ext cx="2910053" cy="1209675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12700</xdr:colOff>
      <xdr:row>23</xdr:row>
      <xdr:rowOff>246375</xdr:rowOff>
    </xdr:from>
    <xdr:ext cx="9055100" cy="321947"/>
    <xdr:grpSp>
      <xdr:nvGrpSpPr>
        <xdr:cNvPr id="2" name="Shape 2" title="Drawing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pSpPr/>
      </xdr:nvGrpSpPr>
      <xdr:grpSpPr>
        <a:xfrm flipV="1">
          <a:off x="241300" y="5313675"/>
          <a:ext cx="9055100" cy="321947"/>
          <a:chOff x="-9700" y="678775"/>
          <a:chExt cx="6390000" cy="0"/>
        </a:xfrm>
      </xdr:grpSpPr>
      <xdr:cxnSp macro="">
        <xdr:nvCxnSpPr>
          <xdr:cNvPr id="3" name="Shape 3">
            <a:extLst>
              <a:ext uri="{FF2B5EF4-FFF2-40B4-BE49-F238E27FC236}">
                <a16:creationId xmlns:a16="http://schemas.microsoft.com/office/drawing/2014/main" id="{00000000-0008-0000-1000-000003000000}"/>
              </a:ext>
            </a:extLst>
          </xdr:cNvPr>
          <xdr:cNvCxnSpPr/>
        </xdr:nvCxnSpPr>
        <xdr:spPr>
          <a:xfrm>
            <a:off x="-9700" y="678775"/>
            <a:ext cx="6390000" cy="0"/>
          </a:xfrm>
          <a:prstGeom prst="straightConnector1">
            <a:avLst/>
          </a:prstGeom>
          <a:noFill/>
          <a:ln w="9525" cap="flat" cmpd="sng">
            <a:solidFill>
              <a:srgbClr val="CCCCCC"/>
            </a:solidFill>
            <a:prstDash val="solid"/>
            <a:round/>
            <a:headEnd type="none" w="med" len="med"/>
            <a:tailEnd type="none" w="med" len="med"/>
          </a:ln>
        </xdr:spPr>
      </xdr:cxnSp>
    </xdr:grpSp>
    <xdr:clientData fLocksWithSheet="0"/>
  </xdr:oneCellAnchor>
  <xdr:twoCellAnchor editAs="oneCell">
    <xdr:from>
      <xdr:col>4</xdr:col>
      <xdr:colOff>647701</xdr:colOff>
      <xdr:row>0</xdr:row>
      <xdr:rowOff>209550</xdr:rowOff>
    </xdr:from>
    <xdr:to>
      <xdr:col>7</xdr:col>
      <xdr:colOff>585954</xdr:colOff>
      <xdr:row>6</xdr:row>
      <xdr:rowOff>76200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4604" b="28590"/>
        <a:stretch/>
      </xdr:blipFill>
      <xdr:spPr>
        <a:xfrm>
          <a:off x="4752976" y="209550"/>
          <a:ext cx="2910053" cy="1209675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23</xdr:row>
      <xdr:rowOff>106677</xdr:rowOff>
    </xdr:from>
    <xdr:ext cx="9194800" cy="452122"/>
    <xdr:grpSp>
      <xdr:nvGrpSpPr>
        <xdr:cNvPr id="2" name="Shape 2" title="Drawing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pSpPr/>
      </xdr:nvGrpSpPr>
      <xdr:grpSpPr>
        <a:xfrm flipV="1">
          <a:off x="227135" y="5191562"/>
          <a:ext cx="9194800" cy="452122"/>
          <a:chOff x="-9700" y="678775"/>
          <a:chExt cx="6390000" cy="0"/>
        </a:xfrm>
      </xdr:grpSpPr>
      <xdr:cxnSp macro="">
        <xdr:nvCxnSpPr>
          <xdr:cNvPr id="3" name="Shape 3">
            <a:extLst>
              <a:ext uri="{FF2B5EF4-FFF2-40B4-BE49-F238E27FC236}">
                <a16:creationId xmlns:a16="http://schemas.microsoft.com/office/drawing/2014/main" id="{00000000-0008-0000-1100-000003000000}"/>
              </a:ext>
            </a:extLst>
          </xdr:cNvPr>
          <xdr:cNvCxnSpPr/>
        </xdr:nvCxnSpPr>
        <xdr:spPr>
          <a:xfrm>
            <a:off x="-9700" y="678775"/>
            <a:ext cx="6390000" cy="0"/>
          </a:xfrm>
          <a:prstGeom prst="straightConnector1">
            <a:avLst/>
          </a:prstGeom>
          <a:noFill/>
          <a:ln w="9525" cap="flat" cmpd="sng">
            <a:solidFill>
              <a:srgbClr val="CCCCCC"/>
            </a:solidFill>
            <a:prstDash val="solid"/>
            <a:round/>
            <a:headEnd type="none" w="med" len="med"/>
            <a:tailEnd type="none" w="med" len="med"/>
          </a:ln>
        </xdr:spPr>
      </xdr:cxnSp>
    </xdr:grpSp>
    <xdr:clientData fLocksWithSheet="0"/>
  </xdr:oneCellAnchor>
  <xdr:twoCellAnchor editAs="oneCell">
    <xdr:from>
      <xdr:col>4</xdr:col>
      <xdr:colOff>647701</xdr:colOff>
      <xdr:row>0</xdr:row>
      <xdr:rowOff>209550</xdr:rowOff>
    </xdr:from>
    <xdr:to>
      <xdr:col>7</xdr:col>
      <xdr:colOff>404979</xdr:colOff>
      <xdr:row>6</xdr:row>
      <xdr:rowOff>76200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4604" b="28590"/>
        <a:stretch/>
      </xdr:blipFill>
      <xdr:spPr>
        <a:xfrm>
          <a:off x="4581526" y="209550"/>
          <a:ext cx="2910053" cy="1209675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69273</xdr:colOff>
      <xdr:row>24</xdr:row>
      <xdr:rowOff>164407</xdr:rowOff>
    </xdr:from>
    <xdr:ext cx="8277225" cy="74294"/>
    <xdr:grpSp>
      <xdr:nvGrpSpPr>
        <xdr:cNvPr id="2" name="Shape 2" title="Drawing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pSpPr/>
      </xdr:nvGrpSpPr>
      <xdr:grpSpPr>
        <a:xfrm flipV="1">
          <a:off x="259773" y="5602316"/>
          <a:ext cx="8277225" cy="74294"/>
          <a:chOff x="-9700" y="678775"/>
          <a:chExt cx="6390000" cy="0"/>
        </a:xfrm>
      </xdr:grpSpPr>
      <xdr:cxnSp macro="">
        <xdr:nvCxnSpPr>
          <xdr:cNvPr id="3" name="Shape 3">
            <a:extLst>
              <a:ext uri="{FF2B5EF4-FFF2-40B4-BE49-F238E27FC236}">
                <a16:creationId xmlns:a16="http://schemas.microsoft.com/office/drawing/2014/main" id="{00000000-0008-0000-1200-000003000000}"/>
              </a:ext>
            </a:extLst>
          </xdr:cNvPr>
          <xdr:cNvCxnSpPr/>
        </xdr:nvCxnSpPr>
        <xdr:spPr>
          <a:xfrm>
            <a:off x="-9700" y="678775"/>
            <a:ext cx="6390000" cy="0"/>
          </a:xfrm>
          <a:prstGeom prst="straightConnector1">
            <a:avLst/>
          </a:prstGeom>
          <a:noFill/>
          <a:ln w="9525" cap="flat" cmpd="sng">
            <a:solidFill>
              <a:srgbClr val="CCCCCC"/>
            </a:solidFill>
            <a:prstDash val="solid"/>
            <a:round/>
            <a:headEnd type="none" w="med" len="med"/>
            <a:tailEnd type="none" w="med" len="med"/>
          </a:ln>
        </xdr:spPr>
      </xdr:cxnSp>
    </xdr:grpSp>
    <xdr:clientData fLocksWithSheet="0"/>
  </xdr:oneCellAnchor>
  <xdr:twoCellAnchor editAs="oneCell">
    <xdr:from>
      <xdr:col>4</xdr:col>
      <xdr:colOff>647701</xdr:colOff>
      <xdr:row>0</xdr:row>
      <xdr:rowOff>209550</xdr:rowOff>
    </xdr:from>
    <xdr:to>
      <xdr:col>7</xdr:col>
      <xdr:colOff>537085</xdr:colOff>
      <xdr:row>6</xdr:row>
      <xdr:rowOff>91108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4604" b="28590"/>
        <a:stretch/>
      </xdr:blipFill>
      <xdr:spPr>
        <a:xfrm>
          <a:off x="4829176" y="209550"/>
          <a:ext cx="2908809" cy="1224583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78154</xdr:colOff>
      <xdr:row>23</xdr:row>
      <xdr:rowOff>262987</xdr:rowOff>
    </xdr:from>
    <xdr:ext cx="8277225" cy="74294"/>
    <xdr:grpSp>
      <xdr:nvGrpSpPr>
        <xdr:cNvPr id="2" name="Shape 2" title="Drawing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pSpPr/>
      </xdr:nvGrpSpPr>
      <xdr:grpSpPr>
        <a:xfrm flipV="1">
          <a:off x="78154" y="5194006"/>
          <a:ext cx="8277225" cy="74294"/>
          <a:chOff x="-9700" y="678775"/>
          <a:chExt cx="6390000" cy="0"/>
        </a:xfrm>
      </xdr:grpSpPr>
      <xdr:cxnSp macro="">
        <xdr:nvCxnSpPr>
          <xdr:cNvPr id="3" name="Shape 3">
            <a:extLst>
              <a:ext uri="{FF2B5EF4-FFF2-40B4-BE49-F238E27FC236}">
                <a16:creationId xmlns:a16="http://schemas.microsoft.com/office/drawing/2014/main" id="{00000000-0008-0000-1300-000003000000}"/>
              </a:ext>
            </a:extLst>
          </xdr:cNvPr>
          <xdr:cNvCxnSpPr/>
        </xdr:nvCxnSpPr>
        <xdr:spPr>
          <a:xfrm>
            <a:off x="-9700" y="678775"/>
            <a:ext cx="6390000" cy="0"/>
          </a:xfrm>
          <a:prstGeom prst="straightConnector1">
            <a:avLst/>
          </a:prstGeom>
          <a:noFill/>
          <a:ln w="9525" cap="flat" cmpd="sng">
            <a:solidFill>
              <a:srgbClr val="CCCCCC"/>
            </a:solidFill>
            <a:prstDash val="solid"/>
            <a:round/>
            <a:headEnd type="none" w="med" len="med"/>
            <a:tailEnd type="none" w="med" len="med"/>
          </a:ln>
        </xdr:spPr>
      </xdr:cxnSp>
    </xdr:grpSp>
    <xdr:clientData fLocksWithSheet="0"/>
  </xdr:oneCellAnchor>
  <xdr:twoCellAnchor editAs="oneCell">
    <xdr:from>
      <xdr:col>4</xdr:col>
      <xdr:colOff>647701</xdr:colOff>
      <xdr:row>0</xdr:row>
      <xdr:rowOff>209550</xdr:rowOff>
    </xdr:from>
    <xdr:to>
      <xdr:col>7</xdr:col>
      <xdr:colOff>754159</xdr:colOff>
      <xdr:row>6</xdr:row>
      <xdr:rowOff>223630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4604" b="28590"/>
        <a:stretch/>
      </xdr:blipFill>
      <xdr:spPr>
        <a:xfrm>
          <a:off x="3971926" y="209550"/>
          <a:ext cx="2906808" cy="1357105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330200</xdr:colOff>
      <xdr:row>23</xdr:row>
      <xdr:rowOff>284480</xdr:rowOff>
    </xdr:from>
    <xdr:ext cx="9204569" cy="287020"/>
    <xdr:grpSp>
      <xdr:nvGrpSpPr>
        <xdr:cNvPr id="2" name="Shape 2" title="Drawing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pSpPr/>
      </xdr:nvGrpSpPr>
      <xdr:grpSpPr>
        <a:xfrm flipV="1">
          <a:off x="330200" y="5369365"/>
          <a:ext cx="9204569" cy="287020"/>
          <a:chOff x="-9700" y="678775"/>
          <a:chExt cx="6390000" cy="0"/>
        </a:xfrm>
      </xdr:grpSpPr>
      <xdr:cxnSp macro="">
        <xdr:nvCxnSpPr>
          <xdr:cNvPr id="3" name="Shape 3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CxnSpPr/>
        </xdr:nvCxnSpPr>
        <xdr:spPr>
          <a:xfrm>
            <a:off x="-9700" y="678775"/>
            <a:ext cx="6390000" cy="0"/>
          </a:xfrm>
          <a:prstGeom prst="straightConnector1">
            <a:avLst/>
          </a:prstGeom>
          <a:noFill/>
          <a:ln w="9525" cap="flat" cmpd="sng">
            <a:solidFill>
              <a:srgbClr val="CCCCCC"/>
            </a:solidFill>
            <a:prstDash val="solid"/>
            <a:round/>
            <a:headEnd type="none" w="med" len="med"/>
            <a:tailEnd type="none" w="med" len="med"/>
          </a:ln>
        </xdr:spPr>
      </xdr:cxnSp>
    </xdr:grpSp>
    <xdr:clientData fLocksWithSheet="0"/>
  </xdr:oneCellAnchor>
  <xdr:twoCellAnchor editAs="oneCell">
    <xdr:from>
      <xdr:col>4</xdr:col>
      <xdr:colOff>647701</xdr:colOff>
      <xdr:row>0</xdr:row>
      <xdr:rowOff>209550</xdr:rowOff>
    </xdr:from>
    <xdr:to>
      <xdr:col>7</xdr:col>
      <xdr:colOff>538329</xdr:colOff>
      <xdr:row>6</xdr:row>
      <xdr:rowOff>76200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4604" b="28590"/>
        <a:stretch/>
      </xdr:blipFill>
      <xdr:spPr>
        <a:xfrm>
          <a:off x="4991101" y="209550"/>
          <a:ext cx="2910053" cy="1209675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25400</xdr:colOff>
      <xdr:row>24</xdr:row>
      <xdr:rowOff>157480</xdr:rowOff>
    </xdr:from>
    <xdr:ext cx="9118600" cy="223520"/>
    <xdr:grpSp>
      <xdr:nvGrpSpPr>
        <xdr:cNvPr id="2" name="Shape 2" title="Drawing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pSpPr/>
      </xdr:nvGrpSpPr>
      <xdr:grpSpPr>
        <a:xfrm flipV="1">
          <a:off x="215900" y="5577205"/>
          <a:ext cx="9118600" cy="223520"/>
          <a:chOff x="-9700" y="678775"/>
          <a:chExt cx="6390000" cy="0"/>
        </a:xfrm>
      </xdr:grpSpPr>
      <xdr:cxnSp macro="">
        <xdr:nvCxnSpPr>
          <xdr:cNvPr id="3" name="Shape 3">
            <a:extLst>
              <a:ext uri="{FF2B5EF4-FFF2-40B4-BE49-F238E27FC236}">
                <a16:creationId xmlns:a16="http://schemas.microsoft.com/office/drawing/2014/main" id="{00000000-0008-0000-1500-000003000000}"/>
              </a:ext>
            </a:extLst>
          </xdr:cNvPr>
          <xdr:cNvCxnSpPr/>
        </xdr:nvCxnSpPr>
        <xdr:spPr>
          <a:xfrm>
            <a:off x="-9700" y="678775"/>
            <a:ext cx="6390000" cy="0"/>
          </a:xfrm>
          <a:prstGeom prst="straightConnector1">
            <a:avLst/>
          </a:prstGeom>
          <a:noFill/>
          <a:ln w="9525" cap="flat" cmpd="sng">
            <a:solidFill>
              <a:srgbClr val="CCCCCC"/>
            </a:solidFill>
            <a:prstDash val="solid"/>
            <a:round/>
            <a:headEnd type="none" w="med" len="med"/>
            <a:tailEnd type="none" w="med" len="med"/>
          </a:ln>
        </xdr:spPr>
      </xdr:cxnSp>
    </xdr:grpSp>
    <xdr:clientData fLocksWithSheet="0"/>
  </xdr:oneCellAnchor>
  <xdr:twoCellAnchor editAs="oneCell">
    <xdr:from>
      <xdr:col>4</xdr:col>
      <xdr:colOff>647701</xdr:colOff>
      <xdr:row>0</xdr:row>
      <xdr:rowOff>209550</xdr:rowOff>
    </xdr:from>
    <xdr:to>
      <xdr:col>7</xdr:col>
      <xdr:colOff>366879</xdr:colOff>
      <xdr:row>6</xdr:row>
      <xdr:rowOff>71230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4604" b="28590"/>
        <a:stretch/>
      </xdr:blipFill>
      <xdr:spPr>
        <a:xfrm>
          <a:off x="4524376" y="209550"/>
          <a:ext cx="2910053" cy="1204705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488</xdr:colOff>
      <xdr:row>23</xdr:row>
      <xdr:rowOff>310367</xdr:rowOff>
    </xdr:from>
    <xdr:ext cx="9182100" cy="245746"/>
    <xdr:grpSp>
      <xdr:nvGrpSpPr>
        <xdr:cNvPr id="2" name="Shape 2" title="Drawing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pSpPr/>
      </xdr:nvGrpSpPr>
      <xdr:grpSpPr>
        <a:xfrm flipV="1">
          <a:off x="359507" y="5395252"/>
          <a:ext cx="9182100" cy="245746"/>
          <a:chOff x="-9700" y="678775"/>
          <a:chExt cx="6390000" cy="0"/>
        </a:xfrm>
      </xdr:grpSpPr>
      <xdr:cxnSp macro="">
        <xdr:nvCxnSpPr>
          <xdr:cNvPr id="3" name="Shape 3">
            <a:extLst>
              <a:ext uri="{FF2B5EF4-FFF2-40B4-BE49-F238E27FC236}">
                <a16:creationId xmlns:a16="http://schemas.microsoft.com/office/drawing/2014/main" id="{00000000-0008-0000-1600-000003000000}"/>
              </a:ext>
            </a:extLst>
          </xdr:cNvPr>
          <xdr:cNvCxnSpPr/>
        </xdr:nvCxnSpPr>
        <xdr:spPr>
          <a:xfrm>
            <a:off x="-9700" y="678775"/>
            <a:ext cx="6390000" cy="0"/>
          </a:xfrm>
          <a:prstGeom prst="straightConnector1">
            <a:avLst/>
          </a:prstGeom>
          <a:noFill/>
          <a:ln w="9525" cap="flat" cmpd="sng">
            <a:solidFill>
              <a:srgbClr val="CCCCCC"/>
            </a:solidFill>
            <a:prstDash val="solid"/>
            <a:round/>
            <a:headEnd type="none" w="med" len="med"/>
            <a:tailEnd type="none" w="med" len="med"/>
          </a:ln>
        </xdr:spPr>
      </xdr:cxnSp>
    </xdr:grpSp>
    <xdr:clientData fLocksWithSheet="0"/>
  </xdr:oneCellAnchor>
  <xdr:twoCellAnchor editAs="oneCell">
    <xdr:from>
      <xdr:col>4</xdr:col>
      <xdr:colOff>647701</xdr:colOff>
      <xdr:row>0</xdr:row>
      <xdr:rowOff>209550</xdr:rowOff>
    </xdr:from>
    <xdr:to>
      <xdr:col>7</xdr:col>
      <xdr:colOff>450406</xdr:colOff>
      <xdr:row>6</xdr:row>
      <xdr:rowOff>228600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4604" b="28590"/>
        <a:stretch/>
      </xdr:blipFill>
      <xdr:spPr>
        <a:xfrm>
          <a:off x="4476751" y="209550"/>
          <a:ext cx="2955480" cy="1362075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23</xdr:row>
      <xdr:rowOff>106680</xdr:rowOff>
    </xdr:from>
    <xdr:ext cx="8277225" cy="74294"/>
    <xdr:grpSp>
      <xdr:nvGrpSpPr>
        <xdr:cNvPr id="2" name="Shape 2" title="Drawing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pSpPr/>
      </xdr:nvGrpSpPr>
      <xdr:grpSpPr>
        <a:xfrm flipV="1">
          <a:off x="0" y="5012055"/>
          <a:ext cx="8277225" cy="74294"/>
          <a:chOff x="-9700" y="678775"/>
          <a:chExt cx="6390000" cy="0"/>
        </a:xfrm>
      </xdr:grpSpPr>
      <xdr:cxnSp macro="">
        <xdr:nvCxnSpPr>
          <xdr:cNvPr id="3" name="Shape 3">
            <a:extLst>
              <a:ext uri="{FF2B5EF4-FFF2-40B4-BE49-F238E27FC236}">
                <a16:creationId xmlns:a16="http://schemas.microsoft.com/office/drawing/2014/main" id="{00000000-0008-0000-1700-000003000000}"/>
              </a:ext>
            </a:extLst>
          </xdr:cNvPr>
          <xdr:cNvCxnSpPr/>
        </xdr:nvCxnSpPr>
        <xdr:spPr>
          <a:xfrm>
            <a:off x="-9700" y="678775"/>
            <a:ext cx="6390000" cy="0"/>
          </a:xfrm>
          <a:prstGeom prst="straightConnector1">
            <a:avLst/>
          </a:prstGeom>
          <a:noFill/>
          <a:ln w="9525" cap="flat" cmpd="sng">
            <a:solidFill>
              <a:srgbClr val="CCCCCC"/>
            </a:solidFill>
            <a:prstDash val="solid"/>
            <a:round/>
            <a:headEnd type="none" w="med" len="med"/>
            <a:tailEnd type="none" w="med" len="med"/>
          </a:ln>
        </xdr:spPr>
      </xdr:cxnSp>
    </xdr:grpSp>
    <xdr:clientData fLocksWithSheet="0"/>
  </xdr:oneCellAnchor>
  <xdr:twoCellAnchor editAs="oneCell">
    <xdr:from>
      <xdr:col>4</xdr:col>
      <xdr:colOff>647701</xdr:colOff>
      <xdr:row>0</xdr:row>
      <xdr:rowOff>209550</xdr:rowOff>
    </xdr:from>
    <xdr:to>
      <xdr:col>7</xdr:col>
      <xdr:colOff>754159</xdr:colOff>
      <xdr:row>6</xdr:row>
      <xdr:rowOff>223630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4604" b="28590"/>
        <a:stretch/>
      </xdr:blipFill>
      <xdr:spPr>
        <a:xfrm>
          <a:off x="3971926" y="209550"/>
          <a:ext cx="2906808" cy="1357105"/>
        </a:xfrm>
        <a:prstGeom prst="rect">
          <a:avLst/>
        </a:prstGeom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23</xdr:row>
      <xdr:rowOff>106675</xdr:rowOff>
    </xdr:from>
    <xdr:ext cx="9831917" cy="350523"/>
    <xdr:grpSp>
      <xdr:nvGrpSpPr>
        <xdr:cNvPr id="2" name="Shape 2" title="Drawing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pSpPr/>
      </xdr:nvGrpSpPr>
      <xdr:grpSpPr>
        <a:xfrm flipV="1">
          <a:off x="0" y="5170800"/>
          <a:ext cx="9831917" cy="350523"/>
          <a:chOff x="-9700" y="678775"/>
          <a:chExt cx="6390000" cy="0"/>
        </a:xfrm>
      </xdr:grpSpPr>
      <xdr:cxnSp macro="">
        <xdr:nvCxnSpPr>
          <xdr:cNvPr id="3" name="Shape 3">
            <a:extLst>
              <a:ext uri="{FF2B5EF4-FFF2-40B4-BE49-F238E27FC236}">
                <a16:creationId xmlns:a16="http://schemas.microsoft.com/office/drawing/2014/main" id="{00000000-0008-0000-1800-000003000000}"/>
              </a:ext>
            </a:extLst>
          </xdr:cNvPr>
          <xdr:cNvCxnSpPr/>
        </xdr:nvCxnSpPr>
        <xdr:spPr>
          <a:xfrm>
            <a:off x="-9700" y="678775"/>
            <a:ext cx="6390000" cy="0"/>
          </a:xfrm>
          <a:prstGeom prst="straightConnector1">
            <a:avLst/>
          </a:prstGeom>
          <a:noFill/>
          <a:ln w="9525" cap="flat" cmpd="sng">
            <a:solidFill>
              <a:srgbClr val="CCCCCC"/>
            </a:solidFill>
            <a:prstDash val="solid"/>
            <a:round/>
            <a:headEnd type="none" w="med" len="med"/>
            <a:tailEnd type="none" w="med" len="med"/>
          </a:ln>
        </xdr:spPr>
      </xdr:cxnSp>
    </xdr:grpSp>
    <xdr:clientData fLocksWithSheet="0"/>
  </xdr:oneCellAnchor>
  <xdr:twoCellAnchor editAs="oneCell">
    <xdr:from>
      <xdr:col>4</xdr:col>
      <xdr:colOff>647701</xdr:colOff>
      <xdr:row>0</xdr:row>
      <xdr:rowOff>209550</xdr:rowOff>
    </xdr:from>
    <xdr:to>
      <xdr:col>7</xdr:col>
      <xdr:colOff>404979</xdr:colOff>
      <xdr:row>6</xdr:row>
      <xdr:rowOff>228600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4604" b="28590"/>
        <a:stretch/>
      </xdr:blipFill>
      <xdr:spPr>
        <a:xfrm>
          <a:off x="4581526" y="209550"/>
          <a:ext cx="2910053" cy="1362075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165652</xdr:colOff>
      <xdr:row>24</xdr:row>
      <xdr:rowOff>40418</xdr:rowOff>
    </xdr:from>
    <xdr:ext cx="8647043" cy="290885"/>
    <xdr:grpSp>
      <xdr:nvGrpSpPr>
        <xdr:cNvPr id="2" name="Shape 2" title="Drawing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pSpPr/>
      </xdr:nvGrpSpPr>
      <xdr:grpSpPr>
        <a:xfrm flipV="1">
          <a:off x="165652" y="5490375"/>
          <a:ext cx="8647043" cy="290885"/>
          <a:chOff x="-9700" y="678775"/>
          <a:chExt cx="6390000" cy="0"/>
        </a:xfrm>
      </xdr:grpSpPr>
      <xdr:cxnSp macro="">
        <xdr:nvCxnSpPr>
          <xdr:cNvPr id="3" name="Shape 3">
            <a:extLst>
              <a:ext uri="{FF2B5EF4-FFF2-40B4-BE49-F238E27FC236}">
                <a16:creationId xmlns:a16="http://schemas.microsoft.com/office/drawing/2014/main" id="{00000000-0008-0000-1900-000003000000}"/>
              </a:ext>
            </a:extLst>
          </xdr:cNvPr>
          <xdr:cNvCxnSpPr/>
        </xdr:nvCxnSpPr>
        <xdr:spPr>
          <a:xfrm>
            <a:off x="-9700" y="678775"/>
            <a:ext cx="6390000" cy="0"/>
          </a:xfrm>
          <a:prstGeom prst="straightConnector1">
            <a:avLst/>
          </a:prstGeom>
          <a:noFill/>
          <a:ln w="9525" cap="flat" cmpd="sng">
            <a:solidFill>
              <a:srgbClr val="CCCCCC"/>
            </a:solidFill>
            <a:prstDash val="solid"/>
            <a:round/>
            <a:headEnd type="none" w="med" len="med"/>
            <a:tailEnd type="none" w="med" len="med"/>
          </a:ln>
        </xdr:spPr>
      </xdr:cxnSp>
    </xdr:grpSp>
    <xdr:clientData fLocksWithSheet="0"/>
  </xdr:oneCellAnchor>
  <xdr:twoCellAnchor editAs="oneCell">
    <xdr:from>
      <xdr:col>4</xdr:col>
      <xdr:colOff>647701</xdr:colOff>
      <xdr:row>0</xdr:row>
      <xdr:rowOff>209550</xdr:rowOff>
    </xdr:from>
    <xdr:to>
      <xdr:col>7</xdr:col>
      <xdr:colOff>537087</xdr:colOff>
      <xdr:row>6</xdr:row>
      <xdr:rowOff>91108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4604" b="28590"/>
        <a:stretch/>
      </xdr:blipFill>
      <xdr:spPr>
        <a:xfrm>
          <a:off x="4191001" y="209550"/>
          <a:ext cx="2908811" cy="1224583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165652</xdr:colOff>
      <xdr:row>24</xdr:row>
      <xdr:rowOff>40418</xdr:rowOff>
    </xdr:from>
    <xdr:ext cx="8647043" cy="290885"/>
    <xdr:grpSp>
      <xdr:nvGrpSpPr>
        <xdr:cNvPr id="2" name="Shape 2" title="Drawing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pSpPr/>
      </xdr:nvGrpSpPr>
      <xdr:grpSpPr>
        <a:xfrm flipV="1">
          <a:off x="165652" y="5490375"/>
          <a:ext cx="8647043" cy="290885"/>
          <a:chOff x="-9700" y="678775"/>
          <a:chExt cx="6390000" cy="0"/>
        </a:xfrm>
      </xdr:grpSpPr>
      <xdr:cxnSp macro="">
        <xdr:nvCxnSpPr>
          <xdr:cNvPr id="3" name="Shape 3">
            <a:extLst>
              <a:ext uri="{FF2B5EF4-FFF2-40B4-BE49-F238E27FC236}">
                <a16:creationId xmlns:a16="http://schemas.microsoft.com/office/drawing/2014/main" id="{00000000-0008-0000-1A00-000003000000}"/>
              </a:ext>
            </a:extLst>
          </xdr:cNvPr>
          <xdr:cNvCxnSpPr/>
        </xdr:nvCxnSpPr>
        <xdr:spPr>
          <a:xfrm>
            <a:off x="-9700" y="678775"/>
            <a:ext cx="6390000" cy="0"/>
          </a:xfrm>
          <a:prstGeom prst="straightConnector1">
            <a:avLst/>
          </a:prstGeom>
          <a:noFill/>
          <a:ln w="9525" cap="flat" cmpd="sng">
            <a:solidFill>
              <a:srgbClr val="CCCCCC"/>
            </a:solidFill>
            <a:prstDash val="solid"/>
            <a:round/>
            <a:headEnd type="none" w="med" len="med"/>
            <a:tailEnd type="none" w="med" len="med"/>
          </a:ln>
        </xdr:spPr>
      </xdr:cxnSp>
    </xdr:grpSp>
    <xdr:clientData fLocksWithSheet="0"/>
  </xdr:oneCellAnchor>
  <xdr:twoCellAnchor editAs="oneCell">
    <xdr:from>
      <xdr:col>4</xdr:col>
      <xdr:colOff>647701</xdr:colOff>
      <xdr:row>0</xdr:row>
      <xdr:rowOff>209550</xdr:rowOff>
    </xdr:from>
    <xdr:to>
      <xdr:col>7</xdr:col>
      <xdr:colOff>537087</xdr:colOff>
      <xdr:row>6</xdr:row>
      <xdr:rowOff>91108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4604" b="28590"/>
        <a:stretch/>
      </xdr:blipFill>
      <xdr:spPr>
        <a:xfrm>
          <a:off x="4191001" y="209550"/>
          <a:ext cx="2908811" cy="1224583"/>
        </a:xfrm>
        <a:prstGeom prst="rect">
          <a:avLst/>
        </a:prstGeom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186347</xdr:colOff>
      <xdr:row>23</xdr:row>
      <xdr:rowOff>302066</xdr:rowOff>
    </xdr:from>
    <xdr:ext cx="8958386" cy="235242"/>
    <xdr:grpSp>
      <xdr:nvGrpSpPr>
        <xdr:cNvPr id="2" name="Shape 2" title="Drawing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pSpPr/>
      </xdr:nvGrpSpPr>
      <xdr:grpSpPr>
        <a:xfrm flipV="1">
          <a:off x="186347" y="5386951"/>
          <a:ext cx="8958386" cy="235242"/>
          <a:chOff x="-9700" y="678775"/>
          <a:chExt cx="6390000" cy="0"/>
        </a:xfrm>
      </xdr:grpSpPr>
      <xdr:cxnSp macro="">
        <xdr:nvCxnSpPr>
          <xdr:cNvPr id="3" name="Shape 3">
            <a:extLst>
              <a:ext uri="{FF2B5EF4-FFF2-40B4-BE49-F238E27FC236}">
                <a16:creationId xmlns:a16="http://schemas.microsoft.com/office/drawing/2014/main" id="{00000000-0008-0000-1B00-000003000000}"/>
              </a:ext>
            </a:extLst>
          </xdr:cNvPr>
          <xdr:cNvCxnSpPr/>
        </xdr:nvCxnSpPr>
        <xdr:spPr>
          <a:xfrm>
            <a:off x="-9700" y="678775"/>
            <a:ext cx="6390000" cy="0"/>
          </a:xfrm>
          <a:prstGeom prst="straightConnector1">
            <a:avLst/>
          </a:prstGeom>
          <a:noFill/>
          <a:ln w="9525" cap="flat" cmpd="sng">
            <a:solidFill>
              <a:srgbClr val="CCCCCC"/>
            </a:solidFill>
            <a:prstDash val="solid"/>
            <a:round/>
            <a:headEnd type="none" w="med" len="med"/>
            <a:tailEnd type="none" w="med" len="med"/>
          </a:ln>
        </xdr:spPr>
      </xdr:cxnSp>
    </xdr:grpSp>
    <xdr:clientData fLocksWithSheet="0"/>
  </xdr:oneCellAnchor>
  <xdr:twoCellAnchor editAs="oneCell">
    <xdr:from>
      <xdr:col>4</xdr:col>
      <xdr:colOff>647701</xdr:colOff>
      <xdr:row>0</xdr:row>
      <xdr:rowOff>209550</xdr:rowOff>
    </xdr:from>
    <xdr:to>
      <xdr:col>7</xdr:col>
      <xdr:colOff>691270</xdr:colOff>
      <xdr:row>6</xdr:row>
      <xdr:rowOff>91108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4604" b="28590"/>
        <a:stretch/>
      </xdr:blipFill>
      <xdr:spPr>
        <a:xfrm>
          <a:off x="4829176" y="209550"/>
          <a:ext cx="2910594" cy="1224583"/>
        </a:xfrm>
        <a:prstGeom prst="rect">
          <a:avLst/>
        </a:prstGeom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23</xdr:row>
      <xdr:rowOff>106677</xdr:rowOff>
    </xdr:from>
    <xdr:ext cx="8826500" cy="452122"/>
    <xdr:grpSp>
      <xdr:nvGrpSpPr>
        <xdr:cNvPr id="2" name="Shape 2" title="Drawing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pSpPr/>
      </xdr:nvGrpSpPr>
      <xdr:grpSpPr>
        <a:xfrm flipV="1">
          <a:off x="228600" y="5059677"/>
          <a:ext cx="8826500" cy="452122"/>
          <a:chOff x="-9700" y="678775"/>
          <a:chExt cx="6390000" cy="0"/>
        </a:xfrm>
      </xdr:grpSpPr>
      <xdr:cxnSp macro="">
        <xdr:nvCxnSpPr>
          <xdr:cNvPr id="3" name="Shape 3">
            <a:extLst>
              <a:ext uri="{FF2B5EF4-FFF2-40B4-BE49-F238E27FC236}">
                <a16:creationId xmlns:a16="http://schemas.microsoft.com/office/drawing/2014/main" id="{00000000-0008-0000-1C00-000003000000}"/>
              </a:ext>
            </a:extLst>
          </xdr:cNvPr>
          <xdr:cNvCxnSpPr/>
        </xdr:nvCxnSpPr>
        <xdr:spPr>
          <a:xfrm>
            <a:off x="-9700" y="678775"/>
            <a:ext cx="6390000" cy="0"/>
          </a:xfrm>
          <a:prstGeom prst="straightConnector1">
            <a:avLst/>
          </a:prstGeom>
          <a:noFill/>
          <a:ln w="9525" cap="flat" cmpd="sng">
            <a:solidFill>
              <a:srgbClr val="CCCCCC"/>
            </a:solidFill>
            <a:prstDash val="solid"/>
            <a:round/>
            <a:headEnd type="none" w="med" len="med"/>
            <a:tailEnd type="none" w="med" len="med"/>
          </a:ln>
        </xdr:spPr>
      </xdr:cxnSp>
    </xdr:grpSp>
    <xdr:clientData fLocksWithSheet="0"/>
  </xdr:oneCellAnchor>
  <xdr:twoCellAnchor editAs="oneCell">
    <xdr:from>
      <xdr:col>4</xdr:col>
      <xdr:colOff>647701</xdr:colOff>
      <xdr:row>0</xdr:row>
      <xdr:rowOff>209550</xdr:rowOff>
    </xdr:from>
    <xdr:to>
      <xdr:col>7</xdr:col>
      <xdr:colOff>404979</xdr:colOff>
      <xdr:row>6</xdr:row>
      <xdr:rowOff>76200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4604" b="28590"/>
        <a:stretch/>
      </xdr:blipFill>
      <xdr:spPr>
        <a:xfrm>
          <a:off x="4295776" y="209550"/>
          <a:ext cx="2910053" cy="1209675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165652</xdr:colOff>
      <xdr:row>24</xdr:row>
      <xdr:rowOff>40418</xdr:rowOff>
    </xdr:from>
    <xdr:ext cx="8647043" cy="290885"/>
    <xdr:grpSp>
      <xdr:nvGrpSpPr>
        <xdr:cNvPr id="2" name="Shape 2" title="Drawing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pSpPr/>
      </xdr:nvGrpSpPr>
      <xdr:grpSpPr>
        <a:xfrm flipV="1">
          <a:off x="165652" y="5490375"/>
          <a:ext cx="8647043" cy="290885"/>
          <a:chOff x="-9700" y="678775"/>
          <a:chExt cx="6390000" cy="0"/>
        </a:xfrm>
      </xdr:grpSpPr>
      <xdr:cxnSp macro="">
        <xdr:nvCxnSpPr>
          <xdr:cNvPr id="3" name="Shape 3">
            <a:extLst>
              <a:ext uri="{FF2B5EF4-FFF2-40B4-BE49-F238E27FC236}">
                <a16:creationId xmlns:a16="http://schemas.microsoft.com/office/drawing/2014/main" id="{00000000-0008-0000-1D00-000003000000}"/>
              </a:ext>
            </a:extLst>
          </xdr:cNvPr>
          <xdr:cNvCxnSpPr/>
        </xdr:nvCxnSpPr>
        <xdr:spPr>
          <a:xfrm>
            <a:off x="-9700" y="678775"/>
            <a:ext cx="6390000" cy="0"/>
          </a:xfrm>
          <a:prstGeom prst="straightConnector1">
            <a:avLst/>
          </a:prstGeom>
          <a:noFill/>
          <a:ln w="9525" cap="flat" cmpd="sng">
            <a:solidFill>
              <a:srgbClr val="CCCCCC"/>
            </a:solidFill>
            <a:prstDash val="solid"/>
            <a:round/>
            <a:headEnd type="none" w="med" len="med"/>
            <a:tailEnd type="none" w="med" len="med"/>
          </a:ln>
        </xdr:spPr>
      </xdr:cxnSp>
    </xdr:grpSp>
    <xdr:clientData fLocksWithSheet="0"/>
  </xdr:oneCellAnchor>
  <xdr:twoCellAnchor editAs="oneCell">
    <xdr:from>
      <xdr:col>4</xdr:col>
      <xdr:colOff>647701</xdr:colOff>
      <xdr:row>0</xdr:row>
      <xdr:rowOff>209550</xdr:rowOff>
    </xdr:from>
    <xdr:to>
      <xdr:col>7</xdr:col>
      <xdr:colOff>537087</xdr:colOff>
      <xdr:row>6</xdr:row>
      <xdr:rowOff>91108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4604" b="28590"/>
        <a:stretch/>
      </xdr:blipFill>
      <xdr:spPr>
        <a:xfrm>
          <a:off x="4191001" y="209550"/>
          <a:ext cx="2908811" cy="1224583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23</xdr:row>
      <xdr:rowOff>106676</xdr:rowOff>
    </xdr:from>
    <xdr:ext cx="9156700" cy="502923"/>
    <xdr:grpSp>
      <xdr:nvGrpSpPr>
        <xdr:cNvPr id="2" name="Shape 2" title="Drawing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pSpPr/>
      </xdr:nvGrpSpPr>
      <xdr:grpSpPr>
        <a:xfrm flipV="1">
          <a:off x="228600" y="5173976"/>
          <a:ext cx="9156700" cy="502923"/>
          <a:chOff x="-9700" y="678775"/>
          <a:chExt cx="6390000" cy="0"/>
        </a:xfrm>
      </xdr:grpSpPr>
      <xdr:cxnSp macro="">
        <xdr:nvCxnSpPr>
          <xdr:cNvPr id="3" name="Shape 3">
            <a:extLst>
              <a:ext uri="{FF2B5EF4-FFF2-40B4-BE49-F238E27FC236}">
                <a16:creationId xmlns:a16="http://schemas.microsoft.com/office/drawing/2014/main" id="{00000000-0008-0000-1E00-000003000000}"/>
              </a:ext>
            </a:extLst>
          </xdr:cNvPr>
          <xdr:cNvCxnSpPr/>
        </xdr:nvCxnSpPr>
        <xdr:spPr>
          <a:xfrm>
            <a:off x="-9700" y="678775"/>
            <a:ext cx="6390000" cy="0"/>
          </a:xfrm>
          <a:prstGeom prst="straightConnector1">
            <a:avLst/>
          </a:prstGeom>
          <a:noFill/>
          <a:ln w="9525" cap="flat" cmpd="sng">
            <a:solidFill>
              <a:srgbClr val="CCCCCC"/>
            </a:solidFill>
            <a:prstDash val="solid"/>
            <a:round/>
            <a:headEnd type="none" w="med" len="med"/>
            <a:tailEnd type="none" w="med" len="med"/>
          </a:ln>
        </xdr:spPr>
      </xdr:cxnSp>
    </xdr:grpSp>
    <xdr:clientData fLocksWithSheet="0"/>
  </xdr:oneCellAnchor>
  <xdr:twoCellAnchor editAs="oneCell">
    <xdr:from>
      <xdr:col>4</xdr:col>
      <xdr:colOff>714376</xdr:colOff>
      <xdr:row>0</xdr:row>
      <xdr:rowOff>257175</xdr:rowOff>
    </xdr:from>
    <xdr:to>
      <xdr:col>7</xdr:col>
      <xdr:colOff>471654</xdr:colOff>
      <xdr:row>6</xdr:row>
      <xdr:rowOff>123825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4604" b="28590"/>
        <a:stretch/>
      </xdr:blipFill>
      <xdr:spPr>
        <a:xfrm>
          <a:off x="4648201" y="257175"/>
          <a:ext cx="2910053" cy="1209675"/>
        </a:xfrm>
        <a:prstGeom prst="rect">
          <a:avLst/>
        </a:prstGeom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23</xdr:row>
      <xdr:rowOff>106676</xdr:rowOff>
    </xdr:from>
    <xdr:ext cx="9207500" cy="528323"/>
    <xdr:grpSp>
      <xdr:nvGrpSpPr>
        <xdr:cNvPr id="2" name="Shape 2" title="Drawing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pSpPr/>
      </xdr:nvGrpSpPr>
      <xdr:grpSpPr>
        <a:xfrm flipV="1">
          <a:off x="230188" y="5170801"/>
          <a:ext cx="9207500" cy="528323"/>
          <a:chOff x="-9700" y="678775"/>
          <a:chExt cx="6390000" cy="0"/>
        </a:xfrm>
      </xdr:grpSpPr>
      <xdr:cxnSp macro="">
        <xdr:nvCxnSpPr>
          <xdr:cNvPr id="3" name="Shape 3">
            <a:extLst>
              <a:ext uri="{FF2B5EF4-FFF2-40B4-BE49-F238E27FC236}">
                <a16:creationId xmlns:a16="http://schemas.microsoft.com/office/drawing/2014/main" id="{00000000-0008-0000-1F00-000003000000}"/>
              </a:ext>
            </a:extLst>
          </xdr:cNvPr>
          <xdr:cNvCxnSpPr/>
        </xdr:nvCxnSpPr>
        <xdr:spPr>
          <a:xfrm>
            <a:off x="-9700" y="678775"/>
            <a:ext cx="6390000" cy="0"/>
          </a:xfrm>
          <a:prstGeom prst="straightConnector1">
            <a:avLst/>
          </a:prstGeom>
          <a:noFill/>
          <a:ln w="9525" cap="flat" cmpd="sng">
            <a:solidFill>
              <a:srgbClr val="CCCCCC"/>
            </a:solidFill>
            <a:prstDash val="solid"/>
            <a:round/>
            <a:headEnd type="none" w="med" len="med"/>
            <a:tailEnd type="none" w="med" len="med"/>
          </a:ln>
        </xdr:spPr>
      </xdr:cxnSp>
    </xdr:grpSp>
    <xdr:clientData fLocksWithSheet="0"/>
  </xdr:oneCellAnchor>
  <xdr:twoCellAnchor editAs="oneCell">
    <xdr:from>
      <xdr:col>4</xdr:col>
      <xdr:colOff>714376</xdr:colOff>
      <xdr:row>0</xdr:row>
      <xdr:rowOff>257175</xdr:rowOff>
    </xdr:from>
    <xdr:to>
      <xdr:col>7</xdr:col>
      <xdr:colOff>471654</xdr:colOff>
      <xdr:row>6</xdr:row>
      <xdr:rowOff>123825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4604" b="28590"/>
        <a:stretch/>
      </xdr:blipFill>
      <xdr:spPr>
        <a:xfrm>
          <a:off x="4648201" y="257175"/>
          <a:ext cx="2910053" cy="1209675"/>
        </a:xfrm>
        <a:prstGeom prst="rect">
          <a:avLst/>
        </a:prstGeom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23</xdr:row>
      <xdr:rowOff>106677</xdr:rowOff>
    </xdr:from>
    <xdr:ext cx="9169400" cy="401322"/>
    <xdr:grpSp>
      <xdr:nvGrpSpPr>
        <xdr:cNvPr id="2" name="Shape 2" title="Drawing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pSpPr/>
      </xdr:nvGrpSpPr>
      <xdr:grpSpPr>
        <a:xfrm flipV="1">
          <a:off x="228600" y="5173977"/>
          <a:ext cx="9169400" cy="401322"/>
          <a:chOff x="-9700" y="678775"/>
          <a:chExt cx="6390000" cy="0"/>
        </a:xfrm>
      </xdr:grpSpPr>
      <xdr:cxnSp macro="">
        <xdr:nvCxnSpPr>
          <xdr:cNvPr id="3" name="Shape 3">
            <a:extLst>
              <a:ext uri="{FF2B5EF4-FFF2-40B4-BE49-F238E27FC236}">
                <a16:creationId xmlns:a16="http://schemas.microsoft.com/office/drawing/2014/main" id="{00000000-0008-0000-2000-000003000000}"/>
              </a:ext>
            </a:extLst>
          </xdr:cNvPr>
          <xdr:cNvCxnSpPr/>
        </xdr:nvCxnSpPr>
        <xdr:spPr>
          <a:xfrm>
            <a:off x="-9700" y="678775"/>
            <a:ext cx="6390000" cy="0"/>
          </a:xfrm>
          <a:prstGeom prst="straightConnector1">
            <a:avLst/>
          </a:prstGeom>
          <a:noFill/>
          <a:ln w="9525" cap="flat" cmpd="sng">
            <a:solidFill>
              <a:srgbClr val="CCCCCC"/>
            </a:solidFill>
            <a:prstDash val="solid"/>
            <a:round/>
            <a:headEnd type="none" w="med" len="med"/>
            <a:tailEnd type="none" w="med" len="med"/>
          </a:ln>
        </xdr:spPr>
      </xdr:cxnSp>
    </xdr:grpSp>
    <xdr:clientData fLocksWithSheet="0"/>
  </xdr:oneCellAnchor>
  <xdr:twoCellAnchor editAs="oneCell">
    <xdr:from>
      <xdr:col>4</xdr:col>
      <xdr:colOff>647701</xdr:colOff>
      <xdr:row>0</xdr:row>
      <xdr:rowOff>209550</xdr:rowOff>
    </xdr:from>
    <xdr:to>
      <xdr:col>7</xdr:col>
      <xdr:colOff>404979</xdr:colOff>
      <xdr:row>6</xdr:row>
      <xdr:rowOff>228600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4604" b="28590"/>
        <a:stretch/>
      </xdr:blipFill>
      <xdr:spPr>
        <a:xfrm>
          <a:off x="4581526" y="209550"/>
          <a:ext cx="2910053" cy="1362075"/>
        </a:xfrm>
        <a:prstGeom prst="rect">
          <a:avLst/>
        </a:prstGeom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78154</xdr:colOff>
      <xdr:row>24</xdr:row>
      <xdr:rowOff>77372</xdr:rowOff>
    </xdr:from>
    <xdr:ext cx="8277225" cy="74294"/>
    <xdr:grpSp>
      <xdr:nvGrpSpPr>
        <xdr:cNvPr id="2" name="Shape 2" title="Drawing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pSpPr/>
      </xdr:nvGrpSpPr>
      <xdr:grpSpPr>
        <a:xfrm flipV="1">
          <a:off x="78154" y="5513949"/>
          <a:ext cx="8277225" cy="74294"/>
          <a:chOff x="-9700" y="678775"/>
          <a:chExt cx="6390000" cy="0"/>
        </a:xfrm>
      </xdr:grpSpPr>
      <xdr:cxnSp macro="">
        <xdr:nvCxnSpPr>
          <xdr:cNvPr id="3" name="Shape 3">
            <a:extLst>
              <a:ext uri="{FF2B5EF4-FFF2-40B4-BE49-F238E27FC236}">
                <a16:creationId xmlns:a16="http://schemas.microsoft.com/office/drawing/2014/main" id="{00000000-0008-0000-2100-000003000000}"/>
              </a:ext>
            </a:extLst>
          </xdr:cNvPr>
          <xdr:cNvCxnSpPr/>
        </xdr:nvCxnSpPr>
        <xdr:spPr>
          <a:xfrm>
            <a:off x="-9700" y="678775"/>
            <a:ext cx="6390000" cy="0"/>
          </a:xfrm>
          <a:prstGeom prst="straightConnector1">
            <a:avLst/>
          </a:prstGeom>
          <a:noFill/>
          <a:ln w="9525" cap="flat" cmpd="sng">
            <a:solidFill>
              <a:srgbClr val="CCCCCC"/>
            </a:solidFill>
            <a:prstDash val="solid"/>
            <a:round/>
            <a:headEnd type="none" w="med" len="med"/>
            <a:tailEnd type="none" w="med" len="med"/>
          </a:ln>
        </xdr:spPr>
      </xdr:cxnSp>
    </xdr:grpSp>
    <xdr:clientData fLocksWithSheet="0"/>
  </xdr:oneCellAnchor>
  <xdr:twoCellAnchor editAs="oneCell">
    <xdr:from>
      <xdr:col>4</xdr:col>
      <xdr:colOff>647701</xdr:colOff>
      <xdr:row>0</xdr:row>
      <xdr:rowOff>209550</xdr:rowOff>
    </xdr:from>
    <xdr:to>
      <xdr:col>7</xdr:col>
      <xdr:colOff>691270</xdr:colOff>
      <xdr:row>6</xdr:row>
      <xdr:rowOff>91108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4604" b="28590"/>
        <a:stretch/>
      </xdr:blipFill>
      <xdr:spPr>
        <a:xfrm>
          <a:off x="3971926" y="209550"/>
          <a:ext cx="2910594" cy="1224583"/>
        </a:xfrm>
        <a:prstGeom prst="rect">
          <a:avLst/>
        </a:prstGeom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23</xdr:row>
      <xdr:rowOff>170180</xdr:rowOff>
    </xdr:from>
    <xdr:ext cx="9601200" cy="401320"/>
    <xdr:grpSp>
      <xdr:nvGrpSpPr>
        <xdr:cNvPr id="2" name="Shape 2" title="Drawing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pSpPr/>
      </xdr:nvGrpSpPr>
      <xdr:grpSpPr>
        <a:xfrm flipV="1">
          <a:off x="266700" y="5237480"/>
          <a:ext cx="9601200" cy="401320"/>
          <a:chOff x="-9700" y="678775"/>
          <a:chExt cx="6390000" cy="0"/>
        </a:xfrm>
      </xdr:grpSpPr>
      <xdr:cxnSp macro="">
        <xdr:nvCxnSpPr>
          <xdr:cNvPr id="3" name="Shape 3">
            <a:extLst>
              <a:ext uri="{FF2B5EF4-FFF2-40B4-BE49-F238E27FC236}">
                <a16:creationId xmlns:a16="http://schemas.microsoft.com/office/drawing/2014/main" id="{00000000-0008-0000-2200-000003000000}"/>
              </a:ext>
            </a:extLst>
          </xdr:cNvPr>
          <xdr:cNvCxnSpPr/>
        </xdr:nvCxnSpPr>
        <xdr:spPr>
          <a:xfrm>
            <a:off x="-9700" y="678775"/>
            <a:ext cx="6390000" cy="0"/>
          </a:xfrm>
          <a:prstGeom prst="straightConnector1">
            <a:avLst/>
          </a:prstGeom>
          <a:noFill/>
          <a:ln w="9525" cap="flat" cmpd="sng">
            <a:solidFill>
              <a:srgbClr val="CCCCCC"/>
            </a:solidFill>
            <a:prstDash val="solid"/>
            <a:round/>
            <a:headEnd type="none" w="med" len="med"/>
            <a:tailEnd type="none" w="med" len="med"/>
          </a:ln>
        </xdr:spPr>
      </xdr:cxnSp>
    </xdr:grpSp>
    <xdr:clientData fLocksWithSheet="0"/>
  </xdr:oneCellAnchor>
  <xdr:twoCellAnchor editAs="oneCell">
    <xdr:from>
      <xdr:col>4</xdr:col>
      <xdr:colOff>647701</xdr:colOff>
      <xdr:row>0</xdr:row>
      <xdr:rowOff>209550</xdr:rowOff>
    </xdr:from>
    <xdr:to>
      <xdr:col>7</xdr:col>
      <xdr:colOff>157329</xdr:colOff>
      <xdr:row>6</xdr:row>
      <xdr:rowOff>228600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4604" b="28590"/>
        <a:stretch/>
      </xdr:blipFill>
      <xdr:spPr>
        <a:xfrm>
          <a:off x="4895851" y="209550"/>
          <a:ext cx="2910053" cy="1362075"/>
        </a:xfrm>
        <a:prstGeom prst="rect">
          <a:avLst/>
        </a:prstGeom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23</xdr:row>
      <xdr:rowOff>106677</xdr:rowOff>
    </xdr:from>
    <xdr:ext cx="9144000" cy="414022"/>
    <xdr:grpSp>
      <xdr:nvGrpSpPr>
        <xdr:cNvPr id="2" name="Shape 2" title="Drawing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pSpPr/>
      </xdr:nvGrpSpPr>
      <xdr:grpSpPr>
        <a:xfrm flipV="1">
          <a:off x="228600" y="5173977"/>
          <a:ext cx="9144000" cy="414022"/>
          <a:chOff x="-9700" y="678775"/>
          <a:chExt cx="6390000" cy="0"/>
        </a:xfrm>
      </xdr:grpSpPr>
      <xdr:cxnSp macro="">
        <xdr:nvCxnSpPr>
          <xdr:cNvPr id="3" name="Shape 3">
            <a:extLst>
              <a:ext uri="{FF2B5EF4-FFF2-40B4-BE49-F238E27FC236}">
                <a16:creationId xmlns:a16="http://schemas.microsoft.com/office/drawing/2014/main" id="{00000000-0008-0000-2300-000003000000}"/>
              </a:ext>
            </a:extLst>
          </xdr:cNvPr>
          <xdr:cNvCxnSpPr/>
        </xdr:nvCxnSpPr>
        <xdr:spPr>
          <a:xfrm>
            <a:off x="-9700" y="678775"/>
            <a:ext cx="6390000" cy="0"/>
          </a:xfrm>
          <a:prstGeom prst="straightConnector1">
            <a:avLst/>
          </a:prstGeom>
          <a:noFill/>
          <a:ln w="9525" cap="flat" cmpd="sng">
            <a:solidFill>
              <a:srgbClr val="CCCCCC"/>
            </a:solidFill>
            <a:prstDash val="solid"/>
            <a:round/>
            <a:headEnd type="none" w="med" len="med"/>
            <a:tailEnd type="none" w="med" len="med"/>
          </a:ln>
        </xdr:spPr>
      </xdr:cxnSp>
    </xdr:grpSp>
    <xdr:clientData fLocksWithSheet="0"/>
  </xdr:oneCellAnchor>
  <xdr:twoCellAnchor editAs="oneCell">
    <xdr:from>
      <xdr:col>5</xdr:col>
      <xdr:colOff>215899</xdr:colOff>
      <xdr:row>0</xdr:row>
      <xdr:rowOff>247650</xdr:rowOff>
    </xdr:from>
    <xdr:to>
      <xdr:col>7</xdr:col>
      <xdr:colOff>760578</xdr:colOff>
      <xdr:row>6</xdr:row>
      <xdr:rowOff>114300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4604" b="28590"/>
        <a:stretch/>
      </xdr:blipFill>
      <xdr:spPr>
        <a:xfrm>
          <a:off x="5359399" y="247650"/>
          <a:ext cx="2487779" cy="1209675"/>
        </a:xfrm>
        <a:prstGeom prst="rect">
          <a:avLst/>
        </a:prstGeom>
      </xdr:spPr>
    </xdr:pic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23</xdr:row>
      <xdr:rowOff>106677</xdr:rowOff>
    </xdr:from>
    <xdr:ext cx="9232900" cy="452122"/>
    <xdr:grpSp>
      <xdr:nvGrpSpPr>
        <xdr:cNvPr id="2" name="Shape 2" title="Drawing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pSpPr/>
      </xdr:nvGrpSpPr>
      <xdr:grpSpPr>
        <a:xfrm flipV="1">
          <a:off x="228600" y="5173977"/>
          <a:ext cx="9232900" cy="452122"/>
          <a:chOff x="-9700" y="678775"/>
          <a:chExt cx="6390000" cy="0"/>
        </a:xfrm>
      </xdr:grpSpPr>
      <xdr:cxnSp macro="">
        <xdr:nvCxnSpPr>
          <xdr:cNvPr id="3" name="Shape 3">
            <a:extLst>
              <a:ext uri="{FF2B5EF4-FFF2-40B4-BE49-F238E27FC236}">
                <a16:creationId xmlns:a16="http://schemas.microsoft.com/office/drawing/2014/main" id="{00000000-0008-0000-2400-000003000000}"/>
              </a:ext>
            </a:extLst>
          </xdr:cNvPr>
          <xdr:cNvCxnSpPr/>
        </xdr:nvCxnSpPr>
        <xdr:spPr>
          <a:xfrm>
            <a:off x="-9700" y="678775"/>
            <a:ext cx="6390000" cy="0"/>
          </a:xfrm>
          <a:prstGeom prst="straightConnector1">
            <a:avLst/>
          </a:prstGeom>
          <a:noFill/>
          <a:ln w="9525" cap="flat" cmpd="sng">
            <a:solidFill>
              <a:srgbClr val="CCCCCC"/>
            </a:solidFill>
            <a:prstDash val="solid"/>
            <a:round/>
            <a:headEnd type="none" w="med" len="med"/>
            <a:tailEnd type="none" w="med" len="med"/>
          </a:ln>
        </xdr:spPr>
      </xdr:cxnSp>
    </xdr:grpSp>
    <xdr:clientData fLocksWithSheet="0"/>
  </xdr:oneCellAnchor>
  <xdr:twoCellAnchor editAs="oneCell">
    <xdr:from>
      <xdr:col>4</xdr:col>
      <xdr:colOff>647701</xdr:colOff>
      <xdr:row>0</xdr:row>
      <xdr:rowOff>209550</xdr:rowOff>
    </xdr:from>
    <xdr:to>
      <xdr:col>7</xdr:col>
      <xdr:colOff>404979</xdr:colOff>
      <xdr:row>6</xdr:row>
      <xdr:rowOff>76200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4604" b="28590"/>
        <a:stretch/>
      </xdr:blipFill>
      <xdr:spPr>
        <a:xfrm>
          <a:off x="4581526" y="209550"/>
          <a:ext cx="2910053" cy="1209675"/>
        </a:xfrm>
        <a:prstGeom prst="rect">
          <a:avLst/>
        </a:prstGeom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23</xdr:row>
      <xdr:rowOff>106675</xdr:rowOff>
    </xdr:from>
    <xdr:ext cx="9831917" cy="350523"/>
    <xdr:grpSp>
      <xdr:nvGrpSpPr>
        <xdr:cNvPr id="2" name="Shape 2" title="Drawing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pSpPr/>
      </xdr:nvGrpSpPr>
      <xdr:grpSpPr>
        <a:xfrm flipV="1">
          <a:off x="0" y="5170800"/>
          <a:ext cx="9831917" cy="350523"/>
          <a:chOff x="-9700" y="678775"/>
          <a:chExt cx="6390000" cy="0"/>
        </a:xfrm>
      </xdr:grpSpPr>
      <xdr:cxnSp macro="">
        <xdr:nvCxnSpPr>
          <xdr:cNvPr id="3" name="Shape 3">
            <a:extLst>
              <a:ext uri="{FF2B5EF4-FFF2-40B4-BE49-F238E27FC236}">
                <a16:creationId xmlns:a16="http://schemas.microsoft.com/office/drawing/2014/main" id="{00000000-0008-0000-2500-000003000000}"/>
              </a:ext>
            </a:extLst>
          </xdr:cNvPr>
          <xdr:cNvCxnSpPr/>
        </xdr:nvCxnSpPr>
        <xdr:spPr>
          <a:xfrm>
            <a:off x="-9700" y="678775"/>
            <a:ext cx="6390000" cy="0"/>
          </a:xfrm>
          <a:prstGeom prst="straightConnector1">
            <a:avLst/>
          </a:prstGeom>
          <a:noFill/>
          <a:ln w="9525" cap="flat" cmpd="sng">
            <a:solidFill>
              <a:srgbClr val="CCCCCC"/>
            </a:solidFill>
            <a:prstDash val="solid"/>
            <a:round/>
            <a:headEnd type="none" w="med" len="med"/>
            <a:tailEnd type="none" w="med" len="med"/>
          </a:ln>
        </xdr:spPr>
      </xdr:cxnSp>
    </xdr:grpSp>
    <xdr:clientData fLocksWithSheet="0"/>
  </xdr:oneCellAnchor>
  <xdr:twoCellAnchor editAs="oneCell">
    <xdr:from>
      <xdr:col>4</xdr:col>
      <xdr:colOff>647701</xdr:colOff>
      <xdr:row>0</xdr:row>
      <xdr:rowOff>209550</xdr:rowOff>
    </xdr:from>
    <xdr:to>
      <xdr:col>7</xdr:col>
      <xdr:colOff>404979</xdr:colOff>
      <xdr:row>6</xdr:row>
      <xdr:rowOff>228600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25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4604" b="28590"/>
        <a:stretch/>
      </xdr:blipFill>
      <xdr:spPr>
        <a:xfrm>
          <a:off x="4581526" y="209550"/>
          <a:ext cx="2910053" cy="1362075"/>
        </a:xfrm>
        <a:prstGeom prst="rect">
          <a:avLst/>
        </a:prstGeom>
      </xdr:spPr>
    </xdr:pic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23</xdr:row>
      <xdr:rowOff>106675</xdr:rowOff>
    </xdr:from>
    <xdr:ext cx="9831917" cy="350523"/>
    <xdr:grpSp>
      <xdr:nvGrpSpPr>
        <xdr:cNvPr id="2" name="Shape 2" title="Drawing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pSpPr/>
      </xdr:nvGrpSpPr>
      <xdr:grpSpPr>
        <a:xfrm flipV="1">
          <a:off x="0" y="5170800"/>
          <a:ext cx="9831917" cy="350523"/>
          <a:chOff x="-9700" y="678775"/>
          <a:chExt cx="6390000" cy="0"/>
        </a:xfrm>
      </xdr:grpSpPr>
      <xdr:cxnSp macro="">
        <xdr:nvCxnSpPr>
          <xdr:cNvPr id="3" name="Shape 3">
            <a:extLst>
              <a:ext uri="{FF2B5EF4-FFF2-40B4-BE49-F238E27FC236}">
                <a16:creationId xmlns:a16="http://schemas.microsoft.com/office/drawing/2014/main" id="{00000000-0008-0000-2600-000003000000}"/>
              </a:ext>
            </a:extLst>
          </xdr:cNvPr>
          <xdr:cNvCxnSpPr/>
        </xdr:nvCxnSpPr>
        <xdr:spPr>
          <a:xfrm>
            <a:off x="-9700" y="678775"/>
            <a:ext cx="6390000" cy="0"/>
          </a:xfrm>
          <a:prstGeom prst="straightConnector1">
            <a:avLst/>
          </a:prstGeom>
          <a:noFill/>
          <a:ln w="9525" cap="flat" cmpd="sng">
            <a:solidFill>
              <a:srgbClr val="CCCCCC"/>
            </a:solidFill>
            <a:prstDash val="solid"/>
            <a:round/>
            <a:headEnd type="none" w="med" len="med"/>
            <a:tailEnd type="none" w="med" len="med"/>
          </a:ln>
        </xdr:spPr>
      </xdr:cxnSp>
    </xdr:grpSp>
    <xdr:clientData fLocksWithSheet="0"/>
  </xdr:oneCellAnchor>
  <xdr:twoCellAnchor editAs="oneCell">
    <xdr:from>
      <xdr:col>4</xdr:col>
      <xdr:colOff>647701</xdr:colOff>
      <xdr:row>0</xdr:row>
      <xdr:rowOff>209550</xdr:rowOff>
    </xdr:from>
    <xdr:to>
      <xdr:col>7</xdr:col>
      <xdr:colOff>404979</xdr:colOff>
      <xdr:row>6</xdr:row>
      <xdr:rowOff>228600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4604" b="28590"/>
        <a:stretch/>
      </xdr:blipFill>
      <xdr:spPr>
        <a:xfrm>
          <a:off x="4581526" y="209550"/>
          <a:ext cx="2910053" cy="1362075"/>
        </a:xfrm>
        <a:prstGeom prst="rect">
          <a:avLst/>
        </a:prstGeom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38100</xdr:colOff>
      <xdr:row>23</xdr:row>
      <xdr:rowOff>259077</xdr:rowOff>
    </xdr:from>
    <xdr:ext cx="9156700" cy="439422"/>
    <xdr:grpSp>
      <xdr:nvGrpSpPr>
        <xdr:cNvPr id="2" name="Shape 2" title="Drawing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pSpPr/>
      </xdr:nvGrpSpPr>
      <xdr:grpSpPr>
        <a:xfrm flipV="1">
          <a:off x="266700" y="5326377"/>
          <a:ext cx="9156700" cy="439422"/>
          <a:chOff x="-9700" y="678775"/>
          <a:chExt cx="6390000" cy="0"/>
        </a:xfrm>
      </xdr:grpSpPr>
      <xdr:cxnSp macro="">
        <xdr:nvCxnSpPr>
          <xdr:cNvPr id="3" name="Shape 3">
            <a:extLst>
              <a:ext uri="{FF2B5EF4-FFF2-40B4-BE49-F238E27FC236}">
                <a16:creationId xmlns:a16="http://schemas.microsoft.com/office/drawing/2014/main" id="{00000000-0008-0000-2700-000003000000}"/>
              </a:ext>
            </a:extLst>
          </xdr:cNvPr>
          <xdr:cNvCxnSpPr/>
        </xdr:nvCxnSpPr>
        <xdr:spPr>
          <a:xfrm>
            <a:off x="-9700" y="678775"/>
            <a:ext cx="6390000" cy="0"/>
          </a:xfrm>
          <a:prstGeom prst="straightConnector1">
            <a:avLst/>
          </a:prstGeom>
          <a:noFill/>
          <a:ln w="9525" cap="flat" cmpd="sng">
            <a:solidFill>
              <a:srgbClr val="CCCCCC"/>
            </a:solidFill>
            <a:prstDash val="solid"/>
            <a:round/>
            <a:headEnd type="none" w="med" len="med"/>
            <a:tailEnd type="none" w="med" len="med"/>
          </a:ln>
        </xdr:spPr>
      </xdr:cxnSp>
    </xdr:grpSp>
    <xdr:clientData fLocksWithSheet="0"/>
  </xdr:oneCellAnchor>
  <xdr:twoCellAnchor editAs="oneCell">
    <xdr:from>
      <xdr:col>4</xdr:col>
      <xdr:colOff>647701</xdr:colOff>
      <xdr:row>0</xdr:row>
      <xdr:rowOff>209550</xdr:rowOff>
    </xdr:from>
    <xdr:to>
      <xdr:col>7</xdr:col>
      <xdr:colOff>404979</xdr:colOff>
      <xdr:row>6</xdr:row>
      <xdr:rowOff>76200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27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4604" b="28590"/>
        <a:stretch/>
      </xdr:blipFill>
      <xdr:spPr>
        <a:xfrm>
          <a:off x="4581526" y="209550"/>
          <a:ext cx="2910053" cy="1209675"/>
        </a:xfrm>
        <a:prstGeom prst="rect">
          <a:avLst/>
        </a:prstGeom>
      </xdr:spPr>
    </xdr:pic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23</xdr:row>
      <xdr:rowOff>106677</xdr:rowOff>
    </xdr:from>
    <xdr:ext cx="9241693" cy="401322"/>
    <xdr:grpSp>
      <xdr:nvGrpSpPr>
        <xdr:cNvPr id="2" name="Shape 2" title="Drawing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pSpPr/>
      </xdr:nvGrpSpPr>
      <xdr:grpSpPr>
        <a:xfrm flipV="1">
          <a:off x="212481" y="5191562"/>
          <a:ext cx="9241693" cy="401322"/>
          <a:chOff x="-9700" y="678775"/>
          <a:chExt cx="6390000" cy="0"/>
        </a:xfrm>
      </xdr:grpSpPr>
      <xdr:cxnSp macro="">
        <xdr:nvCxnSpPr>
          <xdr:cNvPr id="3" name="Shape 3">
            <a:extLst>
              <a:ext uri="{FF2B5EF4-FFF2-40B4-BE49-F238E27FC236}">
                <a16:creationId xmlns:a16="http://schemas.microsoft.com/office/drawing/2014/main" id="{00000000-0008-0000-2800-000003000000}"/>
              </a:ext>
            </a:extLst>
          </xdr:cNvPr>
          <xdr:cNvCxnSpPr/>
        </xdr:nvCxnSpPr>
        <xdr:spPr>
          <a:xfrm>
            <a:off x="-9700" y="678775"/>
            <a:ext cx="6390000" cy="0"/>
          </a:xfrm>
          <a:prstGeom prst="straightConnector1">
            <a:avLst/>
          </a:prstGeom>
          <a:noFill/>
          <a:ln w="9525" cap="flat" cmpd="sng">
            <a:solidFill>
              <a:srgbClr val="CCCCCC"/>
            </a:solidFill>
            <a:prstDash val="solid"/>
            <a:round/>
            <a:headEnd type="none" w="med" len="med"/>
            <a:tailEnd type="none" w="med" len="med"/>
          </a:ln>
        </xdr:spPr>
      </xdr:cxnSp>
    </xdr:grpSp>
    <xdr:clientData fLocksWithSheet="0"/>
  </xdr:oneCellAnchor>
  <xdr:twoCellAnchor editAs="oneCell">
    <xdr:from>
      <xdr:col>4</xdr:col>
      <xdr:colOff>1094153</xdr:colOff>
      <xdr:row>0</xdr:row>
      <xdr:rowOff>209550</xdr:rowOff>
    </xdr:from>
    <xdr:to>
      <xdr:col>7</xdr:col>
      <xdr:colOff>404979</xdr:colOff>
      <xdr:row>6</xdr:row>
      <xdr:rowOff>76200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4604" b="28590"/>
        <a:stretch/>
      </xdr:blipFill>
      <xdr:spPr>
        <a:xfrm>
          <a:off x="5008928" y="209550"/>
          <a:ext cx="2463601" cy="1209675"/>
        </a:xfrm>
        <a:prstGeom prst="rect">
          <a:avLst/>
        </a:prstGeom>
      </xdr:spPr>
    </xdr:pic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23</xdr:row>
      <xdr:rowOff>106677</xdr:rowOff>
    </xdr:from>
    <xdr:ext cx="9190182" cy="435958"/>
    <xdr:grpSp>
      <xdr:nvGrpSpPr>
        <xdr:cNvPr id="2" name="Shape 2" title="Drawing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pSpPr/>
      </xdr:nvGrpSpPr>
      <xdr:grpSpPr>
        <a:xfrm flipV="1">
          <a:off x="225136" y="5189563"/>
          <a:ext cx="9190182" cy="435958"/>
          <a:chOff x="-9700" y="678775"/>
          <a:chExt cx="6390000" cy="0"/>
        </a:xfrm>
      </xdr:grpSpPr>
      <xdr:cxnSp macro="">
        <xdr:nvCxnSpPr>
          <xdr:cNvPr id="3" name="Shape 3">
            <a:extLst>
              <a:ext uri="{FF2B5EF4-FFF2-40B4-BE49-F238E27FC236}">
                <a16:creationId xmlns:a16="http://schemas.microsoft.com/office/drawing/2014/main" id="{00000000-0008-0000-2900-000003000000}"/>
              </a:ext>
            </a:extLst>
          </xdr:cNvPr>
          <xdr:cNvCxnSpPr/>
        </xdr:nvCxnSpPr>
        <xdr:spPr>
          <a:xfrm>
            <a:off x="-9700" y="678775"/>
            <a:ext cx="6390000" cy="0"/>
          </a:xfrm>
          <a:prstGeom prst="straightConnector1">
            <a:avLst/>
          </a:prstGeom>
          <a:noFill/>
          <a:ln w="9525" cap="flat" cmpd="sng">
            <a:solidFill>
              <a:srgbClr val="CCCCCC"/>
            </a:solidFill>
            <a:prstDash val="solid"/>
            <a:round/>
            <a:headEnd type="none" w="med" len="med"/>
            <a:tailEnd type="none" w="med" len="med"/>
          </a:ln>
        </xdr:spPr>
      </xdr:cxnSp>
    </xdr:grpSp>
    <xdr:clientData fLocksWithSheet="0"/>
  </xdr:oneCellAnchor>
  <xdr:twoCellAnchor editAs="oneCell">
    <xdr:from>
      <xdr:col>4</xdr:col>
      <xdr:colOff>647701</xdr:colOff>
      <xdr:row>0</xdr:row>
      <xdr:rowOff>209550</xdr:rowOff>
    </xdr:from>
    <xdr:to>
      <xdr:col>7</xdr:col>
      <xdr:colOff>404979</xdr:colOff>
      <xdr:row>6</xdr:row>
      <xdr:rowOff>76200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4604" b="28590"/>
        <a:stretch/>
      </xdr:blipFill>
      <xdr:spPr>
        <a:xfrm>
          <a:off x="4581526" y="209550"/>
          <a:ext cx="2910053" cy="1209675"/>
        </a:xfrm>
        <a:prstGeom prst="rect">
          <a:avLst/>
        </a:prstGeom>
      </xdr:spPr>
    </xdr:pic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23</xdr:row>
      <xdr:rowOff>106677</xdr:rowOff>
    </xdr:from>
    <xdr:ext cx="9512300" cy="452122"/>
    <xdr:grpSp>
      <xdr:nvGrpSpPr>
        <xdr:cNvPr id="2" name="Shape 2" title="Drawing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pSpPr/>
      </xdr:nvGrpSpPr>
      <xdr:grpSpPr>
        <a:xfrm flipV="1">
          <a:off x="228600" y="5173977"/>
          <a:ext cx="9512300" cy="452122"/>
          <a:chOff x="-9700" y="678775"/>
          <a:chExt cx="6390000" cy="0"/>
        </a:xfrm>
      </xdr:grpSpPr>
      <xdr:cxnSp macro="">
        <xdr:nvCxnSpPr>
          <xdr:cNvPr id="3" name="Shape 3">
            <a:extLst>
              <a:ext uri="{FF2B5EF4-FFF2-40B4-BE49-F238E27FC236}">
                <a16:creationId xmlns:a16="http://schemas.microsoft.com/office/drawing/2014/main" id="{00000000-0008-0000-2A00-000003000000}"/>
              </a:ext>
            </a:extLst>
          </xdr:cNvPr>
          <xdr:cNvCxnSpPr/>
        </xdr:nvCxnSpPr>
        <xdr:spPr>
          <a:xfrm>
            <a:off x="-9700" y="678775"/>
            <a:ext cx="6390000" cy="0"/>
          </a:xfrm>
          <a:prstGeom prst="straightConnector1">
            <a:avLst/>
          </a:prstGeom>
          <a:noFill/>
          <a:ln w="9525" cap="flat" cmpd="sng">
            <a:solidFill>
              <a:srgbClr val="CCCCCC"/>
            </a:solidFill>
            <a:prstDash val="solid"/>
            <a:round/>
            <a:headEnd type="none" w="med" len="med"/>
            <a:tailEnd type="none" w="med" len="med"/>
          </a:ln>
        </xdr:spPr>
      </xdr:cxnSp>
    </xdr:grpSp>
    <xdr:clientData fLocksWithSheet="0"/>
  </xdr:oneCellAnchor>
  <xdr:twoCellAnchor editAs="oneCell">
    <xdr:from>
      <xdr:col>4</xdr:col>
      <xdr:colOff>647701</xdr:colOff>
      <xdr:row>0</xdr:row>
      <xdr:rowOff>209550</xdr:rowOff>
    </xdr:from>
    <xdr:to>
      <xdr:col>7</xdr:col>
      <xdr:colOff>366879</xdr:colOff>
      <xdr:row>6</xdr:row>
      <xdr:rowOff>76200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4604" b="28590"/>
        <a:stretch/>
      </xdr:blipFill>
      <xdr:spPr>
        <a:xfrm>
          <a:off x="4562476" y="209550"/>
          <a:ext cx="2910053" cy="1209675"/>
        </a:xfrm>
        <a:prstGeom prst="rect">
          <a:avLst/>
        </a:prstGeom>
      </xdr:spPr>
    </xdr:pic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177800</xdr:colOff>
      <xdr:row>23</xdr:row>
      <xdr:rowOff>119377</xdr:rowOff>
    </xdr:from>
    <xdr:ext cx="9461500" cy="541022"/>
    <xdr:grpSp>
      <xdr:nvGrpSpPr>
        <xdr:cNvPr id="2" name="Shape 2" title="Drawing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pSpPr/>
      </xdr:nvGrpSpPr>
      <xdr:grpSpPr>
        <a:xfrm flipV="1">
          <a:off x="177800" y="5186677"/>
          <a:ext cx="9461500" cy="541022"/>
          <a:chOff x="-9700" y="678775"/>
          <a:chExt cx="6390000" cy="0"/>
        </a:xfrm>
      </xdr:grpSpPr>
      <xdr:cxnSp macro="">
        <xdr:nvCxnSpPr>
          <xdr:cNvPr id="3" name="Shape 3">
            <a:extLst>
              <a:ext uri="{FF2B5EF4-FFF2-40B4-BE49-F238E27FC236}">
                <a16:creationId xmlns:a16="http://schemas.microsoft.com/office/drawing/2014/main" id="{00000000-0008-0000-2B00-000003000000}"/>
              </a:ext>
            </a:extLst>
          </xdr:cNvPr>
          <xdr:cNvCxnSpPr/>
        </xdr:nvCxnSpPr>
        <xdr:spPr>
          <a:xfrm>
            <a:off x="-9700" y="678775"/>
            <a:ext cx="6390000" cy="0"/>
          </a:xfrm>
          <a:prstGeom prst="straightConnector1">
            <a:avLst/>
          </a:prstGeom>
          <a:noFill/>
          <a:ln w="9525" cap="flat" cmpd="sng">
            <a:solidFill>
              <a:srgbClr val="CCCCCC"/>
            </a:solidFill>
            <a:prstDash val="solid"/>
            <a:round/>
            <a:headEnd type="none" w="med" len="med"/>
            <a:tailEnd type="none" w="med" len="med"/>
          </a:ln>
        </xdr:spPr>
      </xdr:cxnSp>
    </xdr:grpSp>
    <xdr:clientData fLocksWithSheet="0"/>
  </xdr:oneCellAnchor>
  <xdr:twoCellAnchor editAs="oneCell">
    <xdr:from>
      <xdr:col>4</xdr:col>
      <xdr:colOff>647701</xdr:colOff>
      <xdr:row>0</xdr:row>
      <xdr:rowOff>209550</xdr:rowOff>
    </xdr:from>
    <xdr:to>
      <xdr:col>7</xdr:col>
      <xdr:colOff>366879</xdr:colOff>
      <xdr:row>6</xdr:row>
      <xdr:rowOff>76200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2B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4604" b="28590"/>
        <a:stretch/>
      </xdr:blipFill>
      <xdr:spPr>
        <a:xfrm>
          <a:off x="4419601" y="209550"/>
          <a:ext cx="2910053" cy="1209675"/>
        </a:xfrm>
        <a:prstGeom prst="rect">
          <a:avLst/>
        </a:prstGeom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87923</xdr:colOff>
      <xdr:row>24</xdr:row>
      <xdr:rowOff>18757</xdr:rowOff>
    </xdr:from>
    <xdr:ext cx="8277225" cy="74294"/>
    <xdr:grpSp>
      <xdr:nvGrpSpPr>
        <xdr:cNvPr id="2" name="Shape 2" title="Drawing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pSpPr/>
      </xdr:nvGrpSpPr>
      <xdr:grpSpPr>
        <a:xfrm flipV="1">
          <a:off x="278423" y="5455334"/>
          <a:ext cx="8277225" cy="74294"/>
          <a:chOff x="-9700" y="678775"/>
          <a:chExt cx="6390000" cy="0"/>
        </a:xfrm>
      </xdr:grpSpPr>
      <xdr:cxnSp macro="">
        <xdr:nvCxnSpPr>
          <xdr:cNvPr id="3" name="Shape 3">
            <a:extLst>
              <a:ext uri="{FF2B5EF4-FFF2-40B4-BE49-F238E27FC236}">
                <a16:creationId xmlns:a16="http://schemas.microsoft.com/office/drawing/2014/main" id="{00000000-0008-0000-2C00-000003000000}"/>
              </a:ext>
            </a:extLst>
          </xdr:cNvPr>
          <xdr:cNvCxnSpPr/>
        </xdr:nvCxnSpPr>
        <xdr:spPr>
          <a:xfrm>
            <a:off x="-9700" y="678775"/>
            <a:ext cx="6390000" cy="0"/>
          </a:xfrm>
          <a:prstGeom prst="straightConnector1">
            <a:avLst/>
          </a:prstGeom>
          <a:noFill/>
          <a:ln w="9525" cap="flat" cmpd="sng">
            <a:solidFill>
              <a:srgbClr val="CCCCCC"/>
            </a:solidFill>
            <a:prstDash val="solid"/>
            <a:round/>
            <a:headEnd type="none" w="med" len="med"/>
            <a:tailEnd type="none" w="med" len="med"/>
          </a:ln>
        </xdr:spPr>
      </xdr:cxnSp>
    </xdr:grpSp>
    <xdr:clientData fLocksWithSheet="0"/>
  </xdr:oneCellAnchor>
  <xdr:twoCellAnchor editAs="oneCell">
    <xdr:from>
      <xdr:col>4</xdr:col>
      <xdr:colOff>647701</xdr:colOff>
      <xdr:row>0</xdr:row>
      <xdr:rowOff>209550</xdr:rowOff>
    </xdr:from>
    <xdr:to>
      <xdr:col>7</xdr:col>
      <xdr:colOff>691270</xdr:colOff>
      <xdr:row>6</xdr:row>
      <xdr:rowOff>91108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2C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4604" b="28590"/>
        <a:stretch/>
      </xdr:blipFill>
      <xdr:spPr>
        <a:xfrm>
          <a:off x="4524376" y="209550"/>
          <a:ext cx="2910594" cy="1224583"/>
        </a:xfrm>
        <a:prstGeom prst="rect">
          <a:avLst/>
        </a:prstGeom>
      </xdr:spPr>
    </xdr:pic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87923</xdr:colOff>
      <xdr:row>24</xdr:row>
      <xdr:rowOff>18757</xdr:rowOff>
    </xdr:from>
    <xdr:ext cx="8277225" cy="74294"/>
    <xdr:grpSp>
      <xdr:nvGrpSpPr>
        <xdr:cNvPr id="2" name="Shape 2" title="Drawing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pSpPr/>
      </xdr:nvGrpSpPr>
      <xdr:grpSpPr>
        <a:xfrm flipV="1">
          <a:off x="278423" y="5455334"/>
          <a:ext cx="8277225" cy="74294"/>
          <a:chOff x="-9700" y="678775"/>
          <a:chExt cx="6390000" cy="0"/>
        </a:xfrm>
      </xdr:grpSpPr>
      <xdr:cxnSp macro="">
        <xdr:nvCxnSpPr>
          <xdr:cNvPr id="3" name="Shape 3">
            <a:extLst>
              <a:ext uri="{FF2B5EF4-FFF2-40B4-BE49-F238E27FC236}">
                <a16:creationId xmlns:a16="http://schemas.microsoft.com/office/drawing/2014/main" id="{00000000-0008-0000-2D00-000003000000}"/>
              </a:ext>
            </a:extLst>
          </xdr:cNvPr>
          <xdr:cNvCxnSpPr/>
        </xdr:nvCxnSpPr>
        <xdr:spPr>
          <a:xfrm>
            <a:off x="-9700" y="678775"/>
            <a:ext cx="6390000" cy="0"/>
          </a:xfrm>
          <a:prstGeom prst="straightConnector1">
            <a:avLst/>
          </a:prstGeom>
          <a:noFill/>
          <a:ln w="9525" cap="flat" cmpd="sng">
            <a:solidFill>
              <a:srgbClr val="CCCCCC"/>
            </a:solidFill>
            <a:prstDash val="solid"/>
            <a:round/>
            <a:headEnd type="none" w="med" len="med"/>
            <a:tailEnd type="none" w="med" len="med"/>
          </a:ln>
        </xdr:spPr>
      </xdr:cxnSp>
    </xdr:grpSp>
    <xdr:clientData fLocksWithSheet="0"/>
  </xdr:oneCellAnchor>
  <xdr:twoCellAnchor editAs="oneCell">
    <xdr:from>
      <xdr:col>4</xdr:col>
      <xdr:colOff>647701</xdr:colOff>
      <xdr:row>0</xdr:row>
      <xdr:rowOff>209550</xdr:rowOff>
    </xdr:from>
    <xdr:to>
      <xdr:col>7</xdr:col>
      <xdr:colOff>691270</xdr:colOff>
      <xdr:row>6</xdr:row>
      <xdr:rowOff>91108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2D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4604" b="28590"/>
        <a:stretch/>
      </xdr:blipFill>
      <xdr:spPr>
        <a:xfrm>
          <a:off x="4524376" y="209550"/>
          <a:ext cx="2910594" cy="1224583"/>
        </a:xfrm>
        <a:prstGeom prst="rect">
          <a:avLst/>
        </a:prstGeom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136769</xdr:colOff>
      <xdr:row>23</xdr:row>
      <xdr:rowOff>272757</xdr:rowOff>
    </xdr:from>
    <xdr:ext cx="9124462" cy="264550"/>
    <xdr:grpSp>
      <xdr:nvGrpSpPr>
        <xdr:cNvPr id="2" name="Shape 2" title="Drawing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pSpPr/>
      </xdr:nvGrpSpPr>
      <xdr:grpSpPr>
        <a:xfrm flipV="1">
          <a:off x="136769" y="5357642"/>
          <a:ext cx="9124462" cy="264550"/>
          <a:chOff x="-9700" y="678775"/>
          <a:chExt cx="6390000" cy="0"/>
        </a:xfrm>
      </xdr:grpSpPr>
      <xdr:cxnSp macro="">
        <xdr:nvCxnSpPr>
          <xdr:cNvPr id="3" name="Shape 3">
            <a:extLst>
              <a:ext uri="{FF2B5EF4-FFF2-40B4-BE49-F238E27FC236}">
                <a16:creationId xmlns:a16="http://schemas.microsoft.com/office/drawing/2014/main" id="{00000000-0008-0000-2E00-000003000000}"/>
              </a:ext>
            </a:extLst>
          </xdr:cNvPr>
          <xdr:cNvCxnSpPr/>
        </xdr:nvCxnSpPr>
        <xdr:spPr>
          <a:xfrm>
            <a:off x="-9700" y="678775"/>
            <a:ext cx="6390000" cy="0"/>
          </a:xfrm>
          <a:prstGeom prst="straightConnector1">
            <a:avLst/>
          </a:prstGeom>
          <a:noFill/>
          <a:ln w="9525" cap="flat" cmpd="sng">
            <a:solidFill>
              <a:srgbClr val="CCCCCC"/>
            </a:solidFill>
            <a:prstDash val="solid"/>
            <a:round/>
            <a:headEnd type="none" w="med" len="med"/>
            <a:tailEnd type="none" w="med" len="med"/>
          </a:ln>
        </xdr:spPr>
      </xdr:cxnSp>
    </xdr:grpSp>
    <xdr:clientData fLocksWithSheet="0"/>
  </xdr:oneCellAnchor>
  <xdr:twoCellAnchor editAs="oneCell">
    <xdr:from>
      <xdr:col>4</xdr:col>
      <xdr:colOff>647701</xdr:colOff>
      <xdr:row>0</xdr:row>
      <xdr:rowOff>209550</xdr:rowOff>
    </xdr:from>
    <xdr:to>
      <xdr:col>7</xdr:col>
      <xdr:colOff>691270</xdr:colOff>
      <xdr:row>6</xdr:row>
      <xdr:rowOff>91108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2E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4604" b="28590"/>
        <a:stretch/>
      </xdr:blipFill>
      <xdr:spPr>
        <a:xfrm>
          <a:off x="4829176" y="209550"/>
          <a:ext cx="2910594" cy="1224583"/>
        </a:xfrm>
        <a:prstGeom prst="rect">
          <a:avLst/>
        </a:prstGeom>
      </xdr:spPr>
    </xdr:pic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136769</xdr:colOff>
      <xdr:row>23</xdr:row>
      <xdr:rowOff>272757</xdr:rowOff>
    </xdr:from>
    <xdr:ext cx="9124462" cy="264550"/>
    <xdr:grpSp>
      <xdr:nvGrpSpPr>
        <xdr:cNvPr id="2" name="Shape 2" title="Drawing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pSpPr/>
      </xdr:nvGrpSpPr>
      <xdr:grpSpPr>
        <a:xfrm flipV="1">
          <a:off x="136769" y="5357642"/>
          <a:ext cx="9124462" cy="264550"/>
          <a:chOff x="-9700" y="678775"/>
          <a:chExt cx="6390000" cy="0"/>
        </a:xfrm>
      </xdr:grpSpPr>
      <xdr:cxnSp macro="">
        <xdr:nvCxnSpPr>
          <xdr:cNvPr id="3" name="Shape 3">
            <a:extLst>
              <a:ext uri="{FF2B5EF4-FFF2-40B4-BE49-F238E27FC236}">
                <a16:creationId xmlns:a16="http://schemas.microsoft.com/office/drawing/2014/main" id="{00000000-0008-0000-2F00-000003000000}"/>
              </a:ext>
            </a:extLst>
          </xdr:cNvPr>
          <xdr:cNvCxnSpPr/>
        </xdr:nvCxnSpPr>
        <xdr:spPr>
          <a:xfrm>
            <a:off x="-9700" y="678775"/>
            <a:ext cx="6390000" cy="0"/>
          </a:xfrm>
          <a:prstGeom prst="straightConnector1">
            <a:avLst/>
          </a:prstGeom>
          <a:noFill/>
          <a:ln w="9525" cap="flat" cmpd="sng">
            <a:solidFill>
              <a:srgbClr val="CCCCCC"/>
            </a:solidFill>
            <a:prstDash val="solid"/>
            <a:round/>
            <a:headEnd type="none" w="med" len="med"/>
            <a:tailEnd type="none" w="med" len="med"/>
          </a:ln>
        </xdr:spPr>
      </xdr:cxnSp>
    </xdr:grpSp>
    <xdr:clientData fLocksWithSheet="0"/>
  </xdr:oneCellAnchor>
  <xdr:twoCellAnchor editAs="oneCell">
    <xdr:from>
      <xdr:col>4</xdr:col>
      <xdr:colOff>647701</xdr:colOff>
      <xdr:row>0</xdr:row>
      <xdr:rowOff>209550</xdr:rowOff>
    </xdr:from>
    <xdr:to>
      <xdr:col>7</xdr:col>
      <xdr:colOff>691270</xdr:colOff>
      <xdr:row>6</xdr:row>
      <xdr:rowOff>91108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2F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4604" b="28590"/>
        <a:stretch/>
      </xdr:blipFill>
      <xdr:spPr>
        <a:xfrm>
          <a:off x="4829176" y="209550"/>
          <a:ext cx="2910594" cy="1224583"/>
        </a:xfrm>
        <a:prstGeom prst="rect">
          <a:avLst/>
        </a:prstGeom>
      </xdr:spPr>
    </xdr:pic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11044</xdr:colOff>
      <xdr:row>23</xdr:row>
      <xdr:rowOff>228158</xdr:rowOff>
    </xdr:from>
    <xdr:ext cx="9143999" cy="290886"/>
    <xdr:grpSp>
      <xdr:nvGrpSpPr>
        <xdr:cNvPr id="2" name="Shape 2" title="Drawing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pSpPr/>
      </xdr:nvGrpSpPr>
      <xdr:grpSpPr>
        <a:xfrm flipV="1">
          <a:off x="259522" y="5437919"/>
          <a:ext cx="9143999" cy="290886"/>
          <a:chOff x="-9700" y="678775"/>
          <a:chExt cx="6390000" cy="0"/>
        </a:xfrm>
      </xdr:grpSpPr>
      <xdr:cxnSp macro="">
        <xdr:nvCxnSpPr>
          <xdr:cNvPr id="3" name="Shape 3">
            <a:extLst>
              <a:ext uri="{FF2B5EF4-FFF2-40B4-BE49-F238E27FC236}">
                <a16:creationId xmlns:a16="http://schemas.microsoft.com/office/drawing/2014/main" id="{00000000-0008-0000-3000-000003000000}"/>
              </a:ext>
            </a:extLst>
          </xdr:cNvPr>
          <xdr:cNvCxnSpPr/>
        </xdr:nvCxnSpPr>
        <xdr:spPr>
          <a:xfrm>
            <a:off x="-9700" y="678775"/>
            <a:ext cx="6390000" cy="0"/>
          </a:xfrm>
          <a:prstGeom prst="straightConnector1">
            <a:avLst/>
          </a:prstGeom>
          <a:noFill/>
          <a:ln w="9525" cap="flat" cmpd="sng">
            <a:solidFill>
              <a:srgbClr val="CCCCCC"/>
            </a:solidFill>
            <a:prstDash val="solid"/>
            <a:round/>
            <a:headEnd type="none" w="med" len="med"/>
            <a:tailEnd type="none" w="med" len="med"/>
          </a:ln>
        </xdr:spPr>
      </xdr:cxnSp>
    </xdr:grpSp>
    <xdr:clientData fLocksWithSheet="0"/>
  </xdr:oneCellAnchor>
  <xdr:twoCellAnchor editAs="oneCell">
    <xdr:from>
      <xdr:col>4</xdr:col>
      <xdr:colOff>647701</xdr:colOff>
      <xdr:row>0</xdr:row>
      <xdr:rowOff>209550</xdr:rowOff>
    </xdr:from>
    <xdr:to>
      <xdr:col>7</xdr:col>
      <xdr:colOff>495673</xdr:colOff>
      <xdr:row>6</xdr:row>
      <xdr:rowOff>2760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30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4604" b="28590"/>
        <a:stretch/>
      </xdr:blipFill>
      <xdr:spPr>
        <a:xfrm>
          <a:off x="4705351" y="209550"/>
          <a:ext cx="2905497" cy="1231485"/>
        </a:xfrm>
        <a:prstGeom prst="rect">
          <a:avLst/>
        </a:prstGeom>
      </xdr:spPr>
    </xdr:pic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23</xdr:row>
      <xdr:rowOff>106677</xdr:rowOff>
    </xdr:from>
    <xdr:ext cx="9245600" cy="452122"/>
    <xdr:grpSp>
      <xdr:nvGrpSpPr>
        <xdr:cNvPr id="2" name="Shape 2" title="Drawing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GrpSpPr/>
      </xdr:nvGrpSpPr>
      <xdr:grpSpPr>
        <a:xfrm flipV="1">
          <a:off x="228600" y="5173977"/>
          <a:ext cx="9245600" cy="452122"/>
          <a:chOff x="-9700" y="678775"/>
          <a:chExt cx="6390000" cy="0"/>
        </a:xfrm>
      </xdr:grpSpPr>
      <xdr:cxnSp macro="">
        <xdr:nvCxnSpPr>
          <xdr:cNvPr id="3" name="Shape 3">
            <a:extLst>
              <a:ext uri="{FF2B5EF4-FFF2-40B4-BE49-F238E27FC236}">
                <a16:creationId xmlns:a16="http://schemas.microsoft.com/office/drawing/2014/main" id="{00000000-0008-0000-3100-000003000000}"/>
              </a:ext>
            </a:extLst>
          </xdr:cNvPr>
          <xdr:cNvCxnSpPr/>
        </xdr:nvCxnSpPr>
        <xdr:spPr>
          <a:xfrm>
            <a:off x="-9700" y="678775"/>
            <a:ext cx="6390000" cy="0"/>
          </a:xfrm>
          <a:prstGeom prst="straightConnector1">
            <a:avLst/>
          </a:prstGeom>
          <a:noFill/>
          <a:ln w="9525" cap="flat" cmpd="sng">
            <a:solidFill>
              <a:srgbClr val="CCCCCC"/>
            </a:solidFill>
            <a:prstDash val="solid"/>
            <a:round/>
            <a:headEnd type="none" w="med" len="med"/>
            <a:tailEnd type="none" w="med" len="med"/>
          </a:ln>
        </xdr:spPr>
      </xdr:cxnSp>
    </xdr:grpSp>
    <xdr:clientData fLocksWithSheet="0"/>
  </xdr:oneCellAnchor>
  <xdr:twoCellAnchor editAs="oneCell">
    <xdr:from>
      <xdr:col>4</xdr:col>
      <xdr:colOff>647701</xdr:colOff>
      <xdr:row>0</xdr:row>
      <xdr:rowOff>209550</xdr:rowOff>
    </xdr:from>
    <xdr:to>
      <xdr:col>7</xdr:col>
      <xdr:colOff>404979</xdr:colOff>
      <xdr:row>6</xdr:row>
      <xdr:rowOff>76200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31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4604" b="28590"/>
        <a:stretch/>
      </xdr:blipFill>
      <xdr:spPr>
        <a:xfrm>
          <a:off x="4581526" y="209550"/>
          <a:ext cx="2910053" cy="1209675"/>
        </a:xfrm>
        <a:prstGeom prst="rect">
          <a:avLst/>
        </a:prstGeom>
      </xdr:spPr>
    </xdr:pic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24</xdr:row>
      <xdr:rowOff>106680</xdr:rowOff>
    </xdr:from>
    <xdr:ext cx="8277225" cy="74294"/>
    <xdr:grpSp>
      <xdr:nvGrpSpPr>
        <xdr:cNvPr id="2" name="Shape 2" title="Drawing">
          <a:extLst>
            <a:ext uri="{FF2B5EF4-FFF2-40B4-BE49-F238E27FC236}">
              <a16:creationId xmlns:a16="http://schemas.microsoft.com/office/drawing/2014/main" id="{00000000-0008-0000-3200-000002000000}"/>
            </a:ext>
          </a:extLst>
        </xdr:cNvPr>
        <xdr:cNvGrpSpPr/>
      </xdr:nvGrpSpPr>
      <xdr:grpSpPr>
        <a:xfrm flipV="1">
          <a:off x="0" y="5374738"/>
          <a:ext cx="8277225" cy="74294"/>
          <a:chOff x="-9700" y="678775"/>
          <a:chExt cx="6390000" cy="0"/>
        </a:xfrm>
      </xdr:grpSpPr>
      <xdr:cxnSp macro="">
        <xdr:nvCxnSpPr>
          <xdr:cNvPr id="3" name="Shape 3">
            <a:extLst>
              <a:ext uri="{FF2B5EF4-FFF2-40B4-BE49-F238E27FC236}">
                <a16:creationId xmlns:a16="http://schemas.microsoft.com/office/drawing/2014/main" id="{00000000-0008-0000-3200-000003000000}"/>
              </a:ext>
            </a:extLst>
          </xdr:cNvPr>
          <xdr:cNvCxnSpPr/>
        </xdr:nvCxnSpPr>
        <xdr:spPr>
          <a:xfrm>
            <a:off x="-9700" y="678775"/>
            <a:ext cx="6390000" cy="0"/>
          </a:xfrm>
          <a:prstGeom prst="straightConnector1">
            <a:avLst/>
          </a:prstGeom>
          <a:noFill/>
          <a:ln w="9525" cap="flat" cmpd="sng">
            <a:solidFill>
              <a:srgbClr val="CCCCCC"/>
            </a:solidFill>
            <a:prstDash val="solid"/>
            <a:round/>
            <a:headEnd type="none" w="med" len="med"/>
            <a:tailEnd type="none" w="med" len="med"/>
          </a:ln>
        </xdr:spPr>
      </xdr:cxnSp>
    </xdr:grpSp>
    <xdr:clientData fLocksWithSheet="0"/>
  </xdr:oneCellAnchor>
  <xdr:twoCellAnchor editAs="oneCell">
    <xdr:from>
      <xdr:col>4</xdr:col>
      <xdr:colOff>647701</xdr:colOff>
      <xdr:row>0</xdr:row>
      <xdr:rowOff>209550</xdr:rowOff>
    </xdr:from>
    <xdr:to>
      <xdr:col>7</xdr:col>
      <xdr:colOff>691270</xdr:colOff>
      <xdr:row>6</xdr:row>
      <xdr:rowOff>91108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32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4604" b="28590"/>
        <a:stretch/>
      </xdr:blipFill>
      <xdr:spPr>
        <a:xfrm>
          <a:off x="3971926" y="209550"/>
          <a:ext cx="2910594" cy="1224583"/>
        </a:xfrm>
        <a:prstGeom prst="rect">
          <a:avLst/>
        </a:prstGeom>
      </xdr:spPr>
    </xdr:pic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97692</xdr:colOff>
      <xdr:row>24</xdr:row>
      <xdr:rowOff>77372</xdr:rowOff>
    </xdr:from>
    <xdr:ext cx="8277225" cy="74294"/>
    <xdr:grpSp>
      <xdr:nvGrpSpPr>
        <xdr:cNvPr id="2" name="Shape 2" title="Drawing">
          <a:extLst>
            <a:ext uri="{FF2B5EF4-FFF2-40B4-BE49-F238E27FC236}">
              <a16:creationId xmlns:a16="http://schemas.microsoft.com/office/drawing/2014/main" id="{00000000-0008-0000-3300-000002000000}"/>
            </a:ext>
          </a:extLst>
        </xdr:cNvPr>
        <xdr:cNvGrpSpPr/>
      </xdr:nvGrpSpPr>
      <xdr:grpSpPr>
        <a:xfrm flipV="1">
          <a:off x="97692" y="5513949"/>
          <a:ext cx="8277225" cy="74294"/>
          <a:chOff x="-9700" y="678775"/>
          <a:chExt cx="6390000" cy="0"/>
        </a:xfrm>
      </xdr:grpSpPr>
      <xdr:cxnSp macro="">
        <xdr:nvCxnSpPr>
          <xdr:cNvPr id="3" name="Shape 3">
            <a:extLst>
              <a:ext uri="{FF2B5EF4-FFF2-40B4-BE49-F238E27FC236}">
                <a16:creationId xmlns:a16="http://schemas.microsoft.com/office/drawing/2014/main" id="{00000000-0008-0000-3300-000003000000}"/>
              </a:ext>
            </a:extLst>
          </xdr:cNvPr>
          <xdr:cNvCxnSpPr/>
        </xdr:nvCxnSpPr>
        <xdr:spPr>
          <a:xfrm>
            <a:off x="-9700" y="678775"/>
            <a:ext cx="6390000" cy="0"/>
          </a:xfrm>
          <a:prstGeom prst="straightConnector1">
            <a:avLst/>
          </a:prstGeom>
          <a:noFill/>
          <a:ln w="9525" cap="flat" cmpd="sng">
            <a:solidFill>
              <a:srgbClr val="CCCCCC"/>
            </a:solidFill>
            <a:prstDash val="solid"/>
            <a:round/>
            <a:headEnd type="none" w="med" len="med"/>
            <a:tailEnd type="none" w="med" len="med"/>
          </a:ln>
        </xdr:spPr>
      </xdr:cxnSp>
    </xdr:grpSp>
    <xdr:clientData fLocksWithSheet="0"/>
  </xdr:oneCellAnchor>
  <xdr:twoCellAnchor editAs="oneCell">
    <xdr:from>
      <xdr:col>4</xdr:col>
      <xdr:colOff>647701</xdr:colOff>
      <xdr:row>0</xdr:row>
      <xdr:rowOff>209550</xdr:rowOff>
    </xdr:from>
    <xdr:to>
      <xdr:col>7</xdr:col>
      <xdr:colOff>691270</xdr:colOff>
      <xdr:row>6</xdr:row>
      <xdr:rowOff>91108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33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4604" b="28590"/>
        <a:stretch/>
      </xdr:blipFill>
      <xdr:spPr>
        <a:xfrm>
          <a:off x="3971926" y="209550"/>
          <a:ext cx="2910594" cy="1224583"/>
        </a:xfrm>
        <a:prstGeom prst="rect">
          <a:avLst/>
        </a:prstGeom>
      </xdr:spPr>
    </xdr:pic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23</xdr:row>
      <xdr:rowOff>106677</xdr:rowOff>
    </xdr:from>
    <xdr:ext cx="9131300" cy="439422"/>
    <xdr:grpSp>
      <xdr:nvGrpSpPr>
        <xdr:cNvPr id="2" name="Shape 2" title="Drawing">
          <a:extLst>
            <a:ext uri="{FF2B5EF4-FFF2-40B4-BE49-F238E27FC236}">
              <a16:creationId xmlns:a16="http://schemas.microsoft.com/office/drawing/2014/main" id="{00000000-0008-0000-3400-000002000000}"/>
            </a:ext>
          </a:extLst>
        </xdr:cNvPr>
        <xdr:cNvGrpSpPr/>
      </xdr:nvGrpSpPr>
      <xdr:grpSpPr>
        <a:xfrm flipV="1">
          <a:off x="230188" y="5170802"/>
          <a:ext cx="9131300" cy="439422"/>
          <a:chOff x="-9700" y="678775"/>
          <a:chExt cx="6390000" cy="0"/>
        </a:xfrm>
      </xdr:grpSpPr>
      <xdr:cxnSp macro="">
        <xdr:nvCxnSpPr>
          <xdr:cNvPr id="3" name="Shape 3">
            <a:extLst>
              <a:ext uri="{FF2B5EF4-FFF2-40B4-BE49-F238E27FC236}">
                <a16:creationId xmlns:a16="http://schemas.microsoft.com/office/drawing/2014/main" id="{00000000-0008-0000-3400-000003000000}"/>
              </a:ext>
            </a:extLst>
          </xdr:cNvPr>
          <xdr:cNvCxnSpPr/>
        </xdr:nvCxnSpPr>
        <xdr:spPr>
          <a:xfrm>
            <a:off x="-9700" y="678775"/>
            <a:ext cx="6390000" cy="0"/>
          </a:xfrm>
          <a:prstGeom prst="straightConnector1">
            <a:avLst/>
          </a:prstGeom>
          <a:noFill/>
          <a:ln w="9525" cap="flat" cmpd="sng">
            <a:solidFill>
              <a:srgbClr val="CCCCCC"/>
            </a:solidFill>
            <a:prstDash val="solid"/>
            <a:round/>
            <a:headEnd type="none" w="med" len="med"/>
            <a:tailEnd type="none" w="med" len="med"/>
          </a:ln>
        </xdr:spPr>
      </xdr:cxnSp>
    </xdr:grpSp>
    <xdr:clientData fLocksWithSheet="0"/>
  </xdr:oneCellAnchor>
  <xdr:twoCellAnchor editAs="oneCell">
    <xdr:from>
      <xdr:col>4</xdr:col>
      <xdr:colOff>647701</xdr:colOff>
      <xdr:row>0</xdr:row>
      <xdr:rowOff>209550</xdr:rowOff>
    </xdr:from>
    <xdr:to>
      <xdr:col>7</xdr:col>
      <xdr:colOff>366879</xdr:colOff>
      <xdr:row>6</xdr:row>
      <xdr:rowOff>76200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34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4604" b="28590"/>
        <a:stretch/>
      </xdr:blipFill>
      <xdr:spPr>
        <a:xfrm>
          <a:off x="4562476" y="209550"/>
          <a:ext cx="2910053" cy="1209675"/>
        </a:xfrm>
        <a:prstGeom prst="rect">
          <a:avLst/>
        </a:prstGeom>
      </xdr:spPr>
    </xdr:pic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23</xdr:row>
      <xdr:rowOff>106678</xdr:rowOff>
    </xdr:from>
    <xdr:ext cx="9867899" cy="283846"/>
    <xdr:grpSp>
      <xdr:nvGrpSpPr>
        <xdr:cNvPr id="2" name="Shape 2" title="Drawing">
          <a:extLst>
            <a:ext uri="{FF2B5EF4-FFF2-40B4-BE49-F238E27FC236}">
              <a16:creationId xmlns:a16="http://schemas.microsoft.com/office/drawing/2014/main" id="{00000000-0008-0000-3500-000002000000}"/>
            </a:ext>
          </a:extLst>
        </xdr:cNvPr>
        <xdr:cNvGrpSpPr/>
      </xdr:nvGrpSpPr>
      <xdr:grpSpPr>
        <a:xfrm flipV="1">
          <a:off x="0" y="5170803"/>
          <a:ext cx="9867899" cy="283846"/>
          <a:chOff x="-9700" y="678775"/>
          <a:chExt cx="6390000" cy="0"/>
        </a:xfrm>
      </xdr:grpSpPr>
      <xdr:cxnSp macro="">
        <xdr:nvCxnSpPr>
          <xdr:cNvPr id="3" name="Shape 3">
            <a:extLst>
              <a:ext uri="{FF2B5EF4-FFF2-40B4-BE49-F238E27FC236}">
                <a16:creationId xmlns:a16="http://schemas.microsoft.com/office/drawing/2014/main" id="{00000000-0008-0000-3500-000003000000}"/>
              </a:ext>
            </a:extLst>
          </xdr:cNvPr>
          <xdr:cNvCxnSpPr/>
        </xdr:nvCxnSpPr>
        <xdr:spPr>
          <a:xfrm>
            <a:off x="-9700" y="678775"/>
            <a:ext cx="6390000" cy="0"/>
          </a:xfrm>
          <a:prstGeom prst="straightConnector1">
            <a:avLst/>
          </a:prstGeom>
          <a:noFill/>
          <a:ln w="9525" cap="flat" cmpd="sng">
            <a:solidFill>
              <a:srgbClr val="CCCCCC"/>
            </a:solidFill>
            <a:prstDash val="solid"/>
            <a:round/>
            <a:headEnd type="none" w="med" len="med"/>
            <a:tailEnd type="none" w="med" len="med"/>
          </a:ln>
        </xdr:spPr>
      </xdr:cxnSp>
    </xdr:grpSp>
    <xdr:clientData fLocksWithSheet="0"/>
  </xdr:oneCellAnchor>
  <xdr:twoCellAnchor editAs="oneCell">
    <xdr:from>
      <xdr:col>4</xdr:col>
      <xdr:colOff>647701</xdr:colOff>
      <xdr:row>0</xdr:row>
      <xdr:rowOff>209550</xdr:rowOff>
    </xdr:from>
    <xdr:to>
      <xdr:col>7</xdr:col>
      <xdr:colOff>928854</xdr:colOff>
      <xdr:row>6</xdr:row>
      <xdr:rowOff>76200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35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4604" b="28590"/>
        <a:stretch/>
      </xdr:blipFill>
      <xdr:spPr>
        <a:xfrm>
          <a:off x="4724401" y="209550"/>
          <a:ext cx="2910053" cy="1209675"/>
        </a:xfrm>
        <a:prstGeom prst="rect">
          <a:avLst/>
        </a:prstGeom>
      </xdr:spPr>
    </xdr:pic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23</xdr:row>
      <xdr:rowOff>163829</xdr:rowOff>
    </xdr:from>
    <xdr:ext cx="8743950" cy="188595"/>
    <xdr:grpSp>
      <xdr:nvGrpSpPr>
        <xdr:cNvPr id="2" name="Shape 2" title="Drawing">
          <a:extLst>
            <a:ext uri="{FF2B5EF4-FFF2-40B4-BE49-F238E27FC236}">
              <a16:creationId xmlns:a16="http://schemas.microsoft.com/office/drawing/2014/main" id="{00000000-0008-0000-3600-000002000000}"/>
            </a:ext>
          </a:extLst>
        </xdr:cNvPr>
        <xdr:cNvGrpSpPr/>
      </xdr:nvGrpSpPr>
      <xdr:grpSpPr>
        <a:xfrm flipV="1">
          <a:off x="0" y="5231129"/>
          <a:ext cx="8743950" cy="188595"/>
          <a:chOff x="-9700" y="678775"/>
          <a:chExt cx="6390000" cy="0"/>
        </a:xfrm>
      </xdr:grpSpPr>
      <xdr:cxnSp macro="">
        <xdr:nvCxnSpPr>
          <xdr:cNvPr id="3" name="Shape 3">
            <a:extLst>
              <a:ext uri="{FF2B5EF4-FFF2-40B4-BE49-F238E27FC236}">
                <a16:creationId xmlns:a16="http://schemas.microsoft.com/office/drawing/2014/main" id="{00000000-0008-0000-3600-000003000000}"/>
              </a:ext>
            </a:extLst>
          </xdr:cNvPr>
          <xdr:cNvCxnSpPr/>
        </xdr:nvCxnSpPr>
        <xdr:spPr>
          <a:xfrm>
            <a:off x="-9700" y="678775"/>
            <a:ext cx="6390000" cy="0"/>
          </a:xfrm>
          <a:prstGeom prst="straightConnector1">
            <a:avLst/>
          </a:prstGeom>
          <a:noFill/>
          <a:ln w="9525" cap="flat" cmpd="sng">
            <a:solidFill>
              <a:srgbClr val="CCCCCC"/>
            </a:solidFill>
            <a:prstDash val="solid"/>
            <a:round/>
            <a:headEnd type="none" w="med" len="med"/>
            <a:tailEnd type="none" w="med" len="med"/>
          </a:ln>
        </xdr:spPr>
      </xdr:cxnSp>
    </xdr:grpSp>
    <xdr:clientData fLocksWithSheet="0"/>
  </xdr:oneCellAnchor>
  <xdr:twoCellAnchor editAs="oneCell">
    <xdr:from>
      <xdr:col>4</xdr:col>
      <xdr:colOff>647701</xdr:colOff>
      <xdr:row>0</xdr:row>
      <xdr:rowOff>209550</xdr:rowOff>
    </xdr:from>
    <xdr:to>
      <xdr:col>7</xdr:col>
      <xdr:colOff>347829</xdr:colOff>
      <xdr:row>6</xdr:row>
      <xdr:rowOff>228600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36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4604" b="28590"/>
        <a:stretch/>
      </xdr:blipFill>
      <xdr:spPr>
        <a:xfrm>
          <a:off x="4086226" y="209550"/>
          <a:ext cx="2900528" cy="1362075"/>
        </a:xfrm>
        <a:prstGeom prst="rect">
          <a:avLst/>
        </a:prstGeom>
      </xdr:spPr>
    </xdr:pic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88348</xdr:colOff>
      <xdr:row>24</xdr:row>
      <xdr:rowOff>51464</xdr:rowOff>
    </xdr:from>
    <xdr:ext cx="8277225" cy="74294"/>
    <xdr:grpSp>
      <xdr:nvGrpSpPr>
        <xdr:cNvPr id="2" name="Shape 2" title="Drawing">
          <a:extLst>
            <a:ext uri="{FF2B5EF4-FFF2-40B4-BE49-F238E27FC236}">
              <a16:creationId xmlns:a16="http://schemas.microsoft.com/office/drawing/2014/main" id="{00000000-0008-0000-3700-000002000000}"/>
            </a:ext>
          </a:extLst>
        </xdr:cNvPr>
        <xdr:cNvGrpSpPr/>
      </xdr:nvGrpSpPr>
      <xdr:grpSpPr>
        <a:xfrm flipV="1">
          <a:off x="88348" y="5402029"/>
          <a:ext cx="8277225" cy="74294"/>
          <a:chOff x="-9700" y="678775"/>
          <a:chExt cx="6390000" cy="0"/>
        </a:xfrm>
      </xdr:grpSpPr>
      <xdr:cxnSp macro="">
        <xdr:nvCxnSpPr>
          <xdr:cNvPr id="3" name="Shape 3">
            <a:extLst>
              <a:ext uri="{FF2B5EF4-FFF2-40B4-BE49-F238E27FC236}">
                <a16:creationId xmlns:a16="http://schemas.microsoft.com/office/drawing/2014/main" id="{00000000-0008-0000-3700-000003000000}"/>
              </a:ext>
            </a:extLst>
          </xdr:cNvPr>
          <xdr:cNvCxnSpPr/>
        </xdr:nvCxnSpPr>
        <xdr:spPr>
          <a:xfrm>
            <a:off x="-9700" y="678775"/>
            <a:ext cx="6390000" cy="0"/>
          </a:xfrm>
          <a:prstGeom prst="straightConnector1">
            <a:avLst/>
          </a:prstGeom>
          <a:noFill/>
          <a:ln w="9525" cap="flat" cmpd="sng">
            <a:solidFill>
              <a:srgbClr val="CCCCCC"/>
            </a:solidFill>
            <a:prstDash val="solid"/>
            <a:round/>
            <a:headEnd type="none" w="med" len="med"/>
            <a:tailEnd type="none" w="med" len="med"/>
          </a:ln>
        </xdr:spPr>
      </xdr:cxnSp>
    </xdr:grpSp>
    <xdr:clientData fLocksWithSheet="0"/>
  </xdr:oneCellAnchor>
  <xdr:twoCellAnchor editAs="oneCell">
    <xdr:from>
      <xdr:col>4</xdr:col>
      <xdr:colOff>647701</xdr:colOff>
      <xdr:row>0</xdr:row>
      <xdr:rowOff>209550</xdr:rowOff>
    </xdr:from>
    <xdr:to>
      <xdr:col>7</xdr:col>
      <xdr:colOff>1075456</xdr:colOff>
      <xdr:row>6</xdr:row>
      <xdr:rowOff>223630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37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4604" b="28590"/>
        <a:stretch/>
      </xdr:blipFill>
      <xdr:spPr>
        <a:xfrm>
          <a:off x="4352926" y="209550"/>
          <a:ext cx="2898043" cy="1357105"/>
        </a:xfrm>
        <a:prstGeom prst="rect">
          <a:avLst/>
        </a:prstGeom>
      </xdr:spPr>
    </xdr:pic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709706</xdr:colOff>
      <xdr:row>0</xdr:row>
      <xdr:rowOff>37352</xdr:rowOff>
    </xdr:from>
    <xdr:to>
      <xdr:col>2</xdr:col>
      <xdr:colOff>42180</xdr:colOff>
      <xdr:row>2</xdr:row>
      <xdr:rowOff>165918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38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-1" t="26619" r="449" b="29837"/>
        <a:stretch/>
      </xdr:blipFill>
      <xdr:spPr>
        <a:xfrm>
          <a:off x="709706" y="37352"/>
          <a:ext cx="1237474" cy="517037"/>
        </a:xfrm>
        <a:prstGeom prst="rect">
          <a:avLst/>
        </a:prstGeom>
      </xdr:spPr>
    </xdr:pic>
    <xdr:clientData/>
  </xdr:twoCellAnchor>
  <xdr:twoCellAnchor>
    <xdr:from>
      <xdr:col>10</xdr:col>
      <xdr:colOff>167441</xdr:colOff>
      <xdr:row>19</xdr:row>
      <xdr:rowOff>186770</xdr:rowOff>
    </xdr:from>
    <xdr:to>
      <xdr:col>22</xdr:col>
      <xdr:colOff>351118</xdr:colOff>
      <xdr:row>34</xdr:row>
      <xdr:rowOff>68735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3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124557</xdr:colOff>
      <xdr:row>4</xdr:row>
      <xdr:rowOff>7326</xdr:rowOff>
    </xdr:from>
    <xdr:to>
      <xdr:col>22</xdr:col>
      <xdr:colOff>343648</xdr:colOff>
      <xdr:row>18</xdr:row>
      <xdr:rowOff>83526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3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43962</xdr:colOff>
      <xdr:row>0</xdr:row>
      <xdr:rowOff>21982</xdr:rowOff>
    </xdr:from>
    <xdr:to>
      <xdr:col>1</xdr:col>
      <xdr:colOff>379429</xdr:colOff>
      <xdr:row>2</xdr:row>
      <xdr:rowOff>39423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39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-1" t="26619" r="449" b="29837"/>
        <a:stretch/>
      </xdr:blipFill>
      <xdr:spPr>
        <a:xfrm>
          <a:off x="43962" y="21982"/>
          <a:ext cx="1164980" cy="509566"/>
        </a:xfrm>
        <a:prstGeom prst="rect">
          <a:avLst/>
        </a:prstGeom>
      </xdr:spPr>
    </xdr:pic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23</xdr:row>
      <xdr:rowOff>163829</xdr:rowOff>
    </xdr:from>
    <xdr:ext cx="8743950" cy="188595"/>
    <xdr:grpSp>
      <xdr:nvGrpSpPr>
        <xdr:cNvPr id="2" name="Shape 2" title="Drawing">
          <a:extLst>
            <a:ext uri="{FF2B5EF4-FFF2-40B4-BE49-F238E27FC236}">
              <a16:creationId xmlns:a16="http://schemas.microsoft.com/office/drawing/2014/main" id="{00000000-0008-0000-3A00-000002000000}"/>
            </a:ext>
          </a:extLst>
        </xdr:cNvPr>
        <xdr:cNvGrpSpPr/>
      </xdr:nvGrpSpPr>
      <xdr:grpSpPr>
        <a:xfrm flipV="1">
          <a:off x="0" y="5231129"/>
          <a:ext cx="8743950" cy="188595"/>
          <a:chOff x="-9700" y="678775"/>
          <a:chExt cx="6390000" cy="0"/>
        </a:xfrm>
      </xdr:grpSpPr>
      <xdr:cxnSp macro="">
        <xdr:nvCxnSpPr>
          <xdr:cNvPr id="3" name="Shape 3">
            <a:extLst>
              <a:ext uri="{FF2B5EF4-FFF2-40B4-BE49-F238E27FC236}">
                <a16:creationId xmlns:a16="http://schemas.microsoft.com/office/drawing/2014/main" id="{00000000-0008-0000-3A00-000003000000}"/>
              </a:ext>
            </a:extLst>
          </xdr:cNvPr>
          <xdr:cNvCxnSpPr/>
        </xdr:nvCxnSpPr>
        <xdr:spPr>
          <a:xfrm>
            <a:off x="-9700" y="678775"/>
            <a:ext cx="6390000" cy="0"/>
          </a:xfrm>
          <a:prstGeom prst="straightConnector1">
            <a:avLst/>
          </a:prstGeom>
          <a:noFill/>
          <a:ln w="9525" cap="flat" cmpd="sng">
            <a:solidFill>
              <a:srgbClr val="CCCCCC"/>
            </a:solidFill>
            <a:prstDash val="solid"/>
            <a:round/>
            <a:headEnd type="none" w="med" len="med"/>
            <a:tailEnd type="none" w="med" len="med"/>
          </a:ln>
        </xdr:spPr>
      </xdr:cxnSp>
    </xdr:grpSp>
    <xdr:clientData fLocksWithSheet="0"/>
  </xdr:oneCellAnchor>
  <xdr:oneCellAnchor>
    <xdr:from>
      <xdr:col>4</xdr:col>
      <xdr:colOff>647701</xdr:colOff>
      <xdr:row>0</xdr:row>
      <xdr:rowOff>209550</xdr:rowOff>
    </xdr:from>
    <xdr:ext cx="2900528" cy="1362075"/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3A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4604" b="28590"/>
        <a:stretch/>
      </xdr:blipFill>
      <xdr:spPr>
        <a:xfrm>
          <a:off x="4086226" y="209550"/>
          <a:ext cx="2900528" cy="1362075"/>
        </a:xfrm>
        <a:prstGeom prst="rect">
          <a:avLst/>
        </a:prstGeom>
      </xdr:spPr>
    </xdr:pic>
    <xdr:clientData/>
  </xdr:one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Greice Calloni" id="{F97E9CC1-5DA1-4EEF-A10E-2348512C7AD5}" userId="f4a6c0ca06170f47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H4" dT="2021-07-05T18:50:46.56" personId="{F97E9CC1-5DA1-4EEF-A10E-2348512C7AD5}" id="{FF568729-9F07-BA4C-876B-B261F87137FD}">
    <text>Bank account</text>
  </threadedComment>
  <threadedComment ref="K16" dT="2022-07-22T18:27:10.28" personId="{F97E9CC1-5DA1-4EEF-A10E-2348512C7AD5}" id="{5F54F1D8-192B-E84C-A043-6348419A764A}">
    <text>Paid $5 extra for Carly - this amount was discounted in the following week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B4" dT="2020-10-02T17:49:45.33" personId="{F97E9CC1-5DA1-4EEF-A10E-2348512C7AD5}" id="{97C8A1AC-D01A-480D-B260-9BA23C3925CA}">
    <text>To be received via bank transfer excl GST</text>
  </threadedComment>
  <threadedComment ref="C4" dT="2020-10-02T18:00:08.59" personId="{F97E9CC1-5DA1-4EEF-A10E-2348512C7AD5}" id="{A55A9451-8AB8-491E-9B51-8C5D8F36A9AE}">
    <text>Just the declarable staffs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C7" dT="2022-07-29T18:37:13.77" personId="{F97E9CC1-5DA1-4EEF-A10E-2348512C7AD5}" id="{CA19EC3E-A8A5-A34C-9F1E-9F67D2481293}">
    <text xml:space="preserve">Insurance Included
</text>
  </threadedComment>
  <threadedComment ref="C11" dT="2022-08-26T17:14:49.45" personId="{F97E9CC1-5DA1-4EEF-A10E-2348512C7AD5}" id="{1CFC22F8-1D01-394A-AB51-9B1CFB758967}">
    <text xml:space="preserve">Insurance for Tom and Felix Included
</text>
  </threadedComment>
  <threadedComment ref="C11" dT="2022-08-26T17:15:35.90" personId="{F97E9CC1-5DA1-4EEF-A10E-2348512C7AD5}" id="{E711037F-A85C-5747-8811-2DE46541247E}" parentId="{1CFC22F8-1D01-394A-AB51-9B1CFB758967}">
    <text>Insurance for Tom and Felix included.</text>
  </threadedComment>
  <threadedComment ref="C11" dT="2022-08-26T17:18:19.80" personId="{F97E9CC1-5DA1-4EEF-A10E-2348512C7AD5}" id="{C4FB146E-92C1-2E4C-B512-328CAEA65289}" parentId="{1CFC22F8-1D01-394A-AB51-9B1CFB758967}">
    <text>Insurance for Tom and Felix Included</text>
  </threadedComment>
  <threadedComment ref="C11" dT="2022-08-26T17:18:37.58" personId="{F97E9CC1-5DA1-4EEF-A10E-2348512C7AD5}" id="{82A279F2-DEC6-1142-8475-7B4FF1329B8E}" parentId="{1CFC22F8-1D01-394A-AB51-9B1CFB758967}">
    <text>Insurance for Tom and Felix included.</text>
  </threadedComment>
  <threadedComment ref="E15" dT="2022-09-22T15:17:38.71" personId="{F97E9CC1-5DA1-4EEF-A10E-2348512C7AD5}" id="{4D7D90A3-879C-DF4C-9E9A-5EC99355CE26}">
    <text>Advanced payment, discount in the next payments.</text>
  </threadedComment>
  <threadedComment ref="C16" dT="2022-10-03T00:22:37.51" personId="{F97E9CC1-5DA1-4EEF-A10E-2348512C7AD5}" id="{45C2556D-D015-2B4E-B169-58D75F78B43E}">
    <text>Paid Felix’s insurance</text>
  </threadedComment>
  <threadedComment ref="E16" dT="2022-09-30T17:54:55.90" personId="{F97E9CC1-5DA1-4EEF-A10E-2348512C7AD5}" id="{1E678E47-CA57-8D40-B65F-F890FB354B6E}">
    <text>Discounted $100 from the advanced payment. Credit of $200 still.</text>
  </threadedComment>
  <threadedComment ref="E17" dT="2022-10-07T12:15:01.98" personId="{F97E9CC1-5DA1-4EEF-A10E-2348512C7AD5}" id="{0BEE56B0-0C08-2A46-9033-A4FE5D1CD0CA}">
    <text>Discounted $100 from the advanced payment. Credit of $100 still.</text>
  </threadedComment>
  <threadedComment ref="E18" dT="2022-10-14T14:07:28.25" personId="{F97E9CC1-5DA1-4EEF-A10E-2348512C7AD5}" id="{13CCC989-A59C-9E44-AB99-3B09B1A83843}">
    <text>Discounted $100 from the advanced payment. Credit of $00.00.</text>
  </threadedComment>
  <threadedComment ref="E22" dT="2022-11-11T12:44:27.57" personId="{F97E9CC1-5DA1-4EEF-A10E-2348512C7AD5}" id="{B5EBD29E-C5FD-EC4E-94B6-080569A3901C}">
    <text>I paid 120 in advance. Discount $50 today.</text>
  </threadedComment>
  <threadedComment ref="E22" dT="2022-11-11T12:48:01.33" personId="{F97E9CC1-5DA1-4EEF-A10E-2348512C7AD5}" id="{58BC020B-8024-C945-A355-3015E3CE780E}" parentId="{B5EBD29E-C5FD-EC4E-94B6-080569A3901C}">
    <text>Advanced payment of $120. Discounted $50 this week</text>
  </threadedComment>
  <threadedComment ref="E23" dT="2022-11-23T20:25:20.11" personId="{F97E9CC1-5DA1-4EEF-A10E-2348512C7AD5}" id="{7E0B02C8-9C93-C74B-A54D-09531FD082CB}">
    <text>Discount of $100, from the extra 850 paid in advance.</text>
  </threadedComment>
  <threadedComment ref="E24" dT="2022-11-23T20:25:30.04" personId="{F97E9CC1-5DA1-4EEF-A10E-2348512C7AD5}" id="{A79D5BA1-F44F-F548-BDA1-1E567D1F4FA0}">
    <text>Discount of $100,+$20 from the extra 850? +60 paid in advance.</text>
  </threadedComment>
  <threadedComment ref="E25" dT="2022-12-02T14:22:11.82" personId="{F97E9CC1-5DA1-4EEF-A10E-2348512C7AD5}" id="{8BAC879B-2D57-4043-BE16-E60DE130155C}">
    <text>Discount of $100,+$20 from the extra 850? +60 paid in advance.</text>
  </threadedComment>
  <threadedComment ref="E26" dT="2022-12-07T21:08:09.50" personId="{F97E9CC1-5DA1-4EEF-A10E-2348512C7AD5}" id="{DCA17CA9-90C6-E14A-BED9-A9B244977696}">
    <text>Haven’t discounted anything this week as Taylah-rose birthday.</text>
  </threadedComment>
  <threadedComment ref="E29" dT="2022-12-29T23:26:13.32" personId="{F97E9CC1-5DA1-4EEF-A10E-2348512C7AD5}" id="{EA3FB060-4ED6-1246-9DE9-A6C75D30C9D1}">
    <text>Discounted $100.</text>
  </threadedComment>
  <threadedComment ref="E30" dT="2023-01-06T14:01:14.98" personId="{F97E9CC1-5DA1-4EEF-A10E-2348512C7AD5}" id="{98955504-1B01-D740-B4B2-21BD25B08717}">
    <text>Discount $100.</text>
  </threadedComment>
  <threadedComment ref="C32" dT="2023-01-20T23:12:27.06" personId="{F97E9CC1-5DA1-4EEF-A10E-2348512C7AD5}" id="{A6A3DF00-51F7-C34A-9E27-4873F169FC82}">
    <text>$30 was missed on the week 25/12.</text>
  </threadedComment>
  <threadedComment ref="E32" dT="2023-01-20T17:30:55.47" personId="{F97E9CC1-5DA1-4EEF-A10E-2348512C7AD5}" id="{EA8270C1-18C3-304C-ACC5-C686D7EB750B}">
    <text>Discounted $100.00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microsoft.com/office/2017/10/relationships/threadedComment" Target="../threadedComments/threadedComment1.xml"/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mailto:alltidy@alltidy.com.au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nigeljgrey@gmail.com" TargetMode="External"/><Relationship Id="rId1" Type="http://schemas.openxmlformats.org/officeDocument/2006/relationships/hyperlink" Target="mailto:alltidy@alltidy.com.au" TargetMode="External"/><Relationship Id="rId4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mailto:alltidy@alltidy.com.au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alltidy@alltidy.com.au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mailto:alltidy@alltidy.com.au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9.bin"/><Relationship Id="rId1" Type="http://schemas.openxmlformats.org/officeDocument/2006/relationships/hyperlink" Target="mailto:alltidy@alltidy.com.au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0.bin"/><Relationship Id="rId1" Type="http://schemas.openxmlformats.org/officeDocument/2006/relationships/hyperlink" Target="mailto:alltidy@alltidy.com.au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mailto:anita@happistudios.com.au" TargetMode="External"/><Relationship Id="rId1" Type="http://schemas.openxmlformats.org/officeDocument/2006/relationships/hyperlink" Target="mailto:alltidy@alltidy.com.au" TargetMode="External"/><Relationship Id="rId4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2.bin"/><Relationship Id="rId1" Type="http://schemas.openxmlformats.org/officeDocument/2006/relationships/hyperlink" Target="mailto:alltidy@alltidy.com.au" TargetMode="Externa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mailto:alltidy@alltidy.com.au" TargetMode="Externa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4.bin"/><Relationship Id="rId1" Type="http://schemas.openxmlformats.org/officeDocument/2006/relationships/hyperlink" Target="mailto:alltidy@alltidy.com.au" TargetMode="Externa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15.bin"/><Relationship Id="rId1" Type="http://schemas.openxmlformats.org/officeDocument/2006/relationships/hyperlink" Target="mailto:alltidy@alltidy.com.au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16.bin"/><Relationship Id="rId1" Type="http://schemas.openxmlformats.org/officeDocument/2006/relationships/hyperlink" Target="mailto:alltidy@alltidy.com.au" TargetMode="Externa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7.bin"/><Relationship Id="rId1" Type="http://schemas.openxmlformats.org/officeDocument/2006/relationships/hyperlink" Target="mailto:alltidy@alltidy.com.au" TargetMode="Externa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18.bin"/><Relationship Id="rId1" Type="http://schemas.openxmlformats.org/officeDocument/2006/relationships/hyperlink" Target="mailto:alltidy@alltidy.com.au" TargetMode="Externa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19.bin"/><Relationship Id="rId1" Type="http://schemas.openxmlformats.org/officeDocument/2006/relationships/hyperlink" Target="mailto:alltidy@alltidy.com.au" TargetMode="Externa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20.bin"/><Relationship Id="rId1" Type="http://schemas.openxmlformats.org/officeDocument/2006/relationships/hyperlink" Target="mailto:alltidy@alltidy.com.au" TargetMode="Externa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21.bin"/><Relationship Id="rId1" Type="http://schemas.openxmlformats.org/officeDocument/2006/relationships/hyperlink" Target="mailto:alltidy@alltidy.com.au" TargetMode="Externa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22.bin"/><Relationship Id="rId1" Type="http://schemas.openxmlformats.org/officeDocument/2006/relationships/hyperlink" Target="mailto:alltidy@alltidy.com.au" TargetMode="Externa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23.bin"/><Relationship Id="rId1" Type="http://schemas.openxmlformats.org/officeDocument/2006/relationships/hyperlink" Target="mailto:alltidy@alltidy.com.au" TargetMode="Externa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24.bin"/><Relationship Id="rId1" Type="http://schemas.openxmlformats.org/officeDocument/2006/relationships/hyperlink" Target="mailto:alltidy@alltidy.com.au" TargetMode="Externa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25.bin"/><Relationship Id="rId1" Type="http://schemas.openxmlformats.org/officeDocument/2006/relationships/hyperlink" Target="mailto:alltidy@alltidy.com.au" TargetMode="Externa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26.bin"/><Relationship Id="rId1" Type="http://schemas.openxmlformats.org/officeDocument/2006/relationships/hyperlink" Target="mailto:alltidy@alltidy.com.au" TargetMode="Externa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27.bin"/><Relationship Id="rId1" Type="http://schemas.openxmlformats.org/officeDocument/2006/relationships/hyperlink" Target="mailto:alltidy@alltidy.com.au" TargetMode="Externa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/><Relationship Id="rId2" Type="http://schemas.openxmlformats.org/officeDocument/2006/relationships/printerSettings" Target="../printerSettings/printerSettings28.bin"/><Relationship Id="rId1" Type="http://schemas.openxmlformats.org/officeDocument/2006/relationships/hyperlink" Target="mailto:alltidy@alltidy.com.au" TargetMode="Externa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29.bin"/><Relationship Id="rId1" Type="http://schemas.openxmlformats.org/officeDocument/2006/relationships/hyperlink" Target="mailto:alltidy@alltidy.com.au" TargetMode="Externa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0.bin"/><Relationship Id="rId2" Type="http://schemas.openxmlformats.org/officeDocument/2006/relationships/hyperlink" Target="mailto:admin@scorpionbusiness.com.au" TargetMode="External"/><Relationship Id="rId1" Type="http://schemas.openxmlformats.org/officeDocument/2006/relationships/hyperlink" Target="mailto:alltidy@alltidy.com.au" TargetMode="External"/><Relationship Id="rId4" Type="http://schemas.openxmlformats.org/officeDocument/2006/relationships/drawing" Target="../drawings/drawing30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printerSettings" Target="../printerSettings/printerSettings31.bin"/><Relationship Id="rId1" Type="http://schemas.openxmlformats.org/officeDocument/2006/relationships/hyperlink" Target="mailto:alltidy@alltidy.com.au" TargetMode="Externa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2.bin"/><Relationship Id="rId2" Type="http://schemas.openxmlformats.org/officeDocument/2006/relationships/hyperlink" Target="mailto:Tim.moltmann@gmail.com" TargetMode="External"/><Relationship Id="rId1" Type="http://schemas.openxmlformats.org/officeDocument/2006/relationships/hyperlink" Target="mailto:alltidy@alltidy.com.au" TargetMode="External"/><Relationship Id="rId4" Type="http://schemas.openxmlformats.org/officeDocument/2006/relationships/drawing" Target="../drawings/drawing32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3.xml"/><Relationship Id="rId2" Type="http://schemas.openxmlformats.org/officeDocument/2006/relationships/printerSettings" Target="../printerSettings/printerSettings33.bin"/><Relationship Id="rId1" Type="http://schemas.openxmlformats.org/officeDocument/2006/relationships/hyperlink" Target="mailto:alltidy@alltidy.com.au" TargetMode="Externa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4.xml"/><Relationship Id="rId2" Type="http://schemas.openxmlformats.org/officeDocument/2006/relationships/printerSettings" Target="../printerSettings/printerSettings34.bin"/><Relationship Id="rId1" Type="http://schemas.openxmlformats.org/officeDocument/2006/relationships/hyperlink" Target="mailto:alltidy@alltidy.com.au" TargetMode="Externa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5.xml"/><Relationship Id="rId2" Type="http://schemas.openxmlformats.org/officeDocument/2006/relationships/printerSettings" Target="../printerSettings/printerSettings35.bin"/><Relationship Id="rId1" Type="http://schemas.openxmlformats.org/officeDocument/2006/relationships/hyperlink" Target="mailto:alltidy@alltidy.com.au" TargetMode="Externa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6.xml"/><Relationship Id="rId2" Type="http://schemas.openxmlformats.org/officeDocument/2006/relationships/printerSettings" Target="../printerSettings/printerSettings36.bin"/><Relationship Id="rId1" Type="http://schemas.openxmlformats.org/officeDocument/2006/relationships/hyperlink" Target="mailto:alltidy@alltidy.com.au" TargetMode="Externa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7.xml"/><Relationship Id="rId2" Type="http://schemas.openxmlformats.org/officeDocument/2006/relationships/printerSettings" Target="../printerSettings/printerSettings37.bin"/><Relationship Id="rId1" Type="http://schemas.openxmlformats.org/officeDocument/2006/relationships/hyperlink" Target="mailto:alltidy@alltidy.com.au" TargetMode="Externa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8.xml"/><Relationship Id="rId2" Type="http://schemas.openxmlformats.org/officeDocument/2006/relationships/printerSettings" Target="../printerSettings/printerSettings38.bin"/><Relationship Id="rId1" Type="http://schemas.openxmlformats.org/officeDocument/2006/relationships/hyperlink" Target="mailto:alltidy@alltidy.com.au" TargetMode="Externa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9.xml"/><Relationship Id="rId2" Type="http://schemas.openxmlformats.org/officeDocument/2006/relationships/printerSettings" Target="../printerSettings/printerSettings39.bin"/><Relationship Id="rId1" Type="http://schemas.openxmlformats.org/officeDocument/2006/relationships/hyperlink" Target="mailto:alltidy@alltidy.com.au" TargetMode="Externa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0.xml"/><Relationship Id="rId2" Type="http://schemas.openxmlformats.org/officeDocument/2006/relationships/printerSettings" Target="../printerSettings/printerSettings40.bin"/><Relationship Id="rId1" Type="http://schemas.openxmlformats.org/officeDocument/2006/relationships/hyperlink" Target="mailto:alltidy@alltidy.com.au" TargetMode="Externa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1.xml"/><Relationship Id="rId2" Type="http://schemas.openxmlformats.org/officeDocument/2006/relationships/printerSettings" Target="../printerSettings/printerSettings41.bin"/><Relationship Id="rId1" Type="http://schemas.openxmlformats.org/officeDocument/2006/relationships/hyperlink" Target="https://connect.dva.gov.au/provider/upload" TargetMode="Externa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2.xml"/><Relationship Id="rId2" Type="http://schemas.openxmlformats.org/officeDocument/2006/relationships/printerSettings" Target="../printerSettings/printerSettings42.bin"/><Relationship Id="rId1" Type="http://schemas.openxmlformats.org/officeDocument/2006/relationships/hyperlink" Target="mailto:alltidy@alltidy.com.au" TargetMode="Externa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3.xml"/><Relationship Id="rId2" Type="http://schemas.openxmlformats.org/officeDocument/2006/relationships/printerSettings" Target="../printerSettings/printerSettings43.bin"/><Relationship Id="rId1" Type="http://schemas.openxmlformats.org/officeDocument/2006/relationships/hyperlink" Target="mailto:alltidy@alltidy.com.au" TargetMode="Externa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4.xml"/><Relationship Id="rId2" Type="http://schemas.openxmlformats.org/officeDocument/2006/relationships/printerSettings" Target="../printerSettings/printerSettings44.bin"/><Relationship Id="rId1" Type="http://schemas.openxmlformats.org/officeDocument/2006/relationships/hyperlink" Target="mailto:alltidy@alltidy.com.au" TargetMode="Externa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5.xml"/><Relationship Id="rId2" Type="http://schemas.openxmlformats.org/officeDocument/2006/relationships/printerSettings" Target="../printerSettings/printerSettings45.bin"/><Relationship Id="rId1" Type="http://schemas.openxmlformats.org/officeDocument/2006/relationships/hyperlink" Target="mailto:alltidy@alltidy.com.au" TargetMode="Externa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6.xml"/><Relationship Id="rId2" Type="http://schemas.openxmlformats.org/officeDocument/2006/relationships/printerSettings" Target="../printerSettings/printerSettings46.bin"/><Relationship Id="rId1" Type="http://schemas.openxmlformats.org/officeDocument/2006/relationships/hyperlink" Target="mailto:alltidy@alltidy.com.au" TargetMode="Externa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7.xml"/><Relationship Id="rId2" Type="http://schemas.openxmlformats.org/officeDocument/2006/relationships/printerSettings" Target="../printerSettings/printerSettings47.bin"/><Relationship Id="rId1" Type="http://schemas.openxmlformats.org/officeDocument/2006/relationships/hyperlink" Target="mailto:alltidy@alltidy.com.au" TargetMode="Externa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8.xml"/><Relationship Id="rId2" Type="http://schemas.openxmlformats.org/officeDocument/2006/relationships/printerSettings" Target="../printerSettings/printerSettings48.bin"/><Relationship Id="rId1" Type="http://schemas.openxmlformats.org/officeDocument/2006/relationships/hyperlink" Target="mailto:alltidy@alltidy.com.au" TargetMode="Externa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9.xml"/><Relationship Id="rId2" Type="http://schemas.openxmlformats.org/officeDocument/2006/relationships/printerSettings" Target="../printerSettings/printerSettings49.bin"/><Relationship Id="rId1" Type="http://schemas.openxmlformats.org/officeDocument/2006/relationships/hyperlink" Target="mailto:alltidy@alltidy.com.au" TargetMode="Externa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0.xml"/><Relationship Id="rId2" Type="http://schemas.openxmlformats.org/officeDocument/2006/relationships/printerSettings" Target="../printerSettings/printerSettings50.bin"/><Relationship Id="rId1" Type="http://schemas.openxmlformats.org/officeDocument/2006/relationships/hyperlink" Target="mailto:alltidy@alltidy.com.au" TargetMode="Externa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1.xml"/><Relationship Id="rId2" Type="http://schemas.openxmlformats.org/officeDocument/2006/relationships/printerSettings" Target="../printerSettings/printerSettings51.bin"/><Relationship Id="rId1" Type="http://schemas.openxmlformats.org/officeDocument/2006/relationships/hyperlink" Target="mailto:alltidy@alltidy.com.au" TargetMode="Externa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2.xml"/><Relationship Id="rId2" Type="http://schemas.openxmlformats.org/officeDocument/2006/relationships/printerSettings" Target="../printerSettings/printerSettings52.bin"/><Relationship Id="rId1" Type="http://schemas.openxmlformats.org/officeDocument/2006/relationships/hyperlink" Target="mailto:alltidy@alltidy.com.au" TargetMode="Externa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3.xml"/><Relationship Id="rId2" Type="http://schemas.openxmlformats.org/officeDocument/2006/relationships/printerSettings" Target="../printerSettings/printerSettings53.bin"/><Relationship Id="rId1" Type="http://schemas.openxmlformats.org/officeDocument/2006/relationships/hyperlink" Target="mailto:alltidy@alltidy.com.au" TargetMode="Externa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4.xml"/><Relationship Id="rId2" Type="http://schemas.openxmlformats.org/officeDocument/2006/relationships/printerSettings" Target="../printerSettings/printerSettings54.bin"/><Relationship Id="rId1" Type="http://schemas.openxmlformats.org/officeDocument/2006/relationships/hyperlink" Target="mailto:alltidy@alltidy.com.au" TargetMode="Externa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5.xml"/><Relationship Id="rId2" Type="http://schemas.openxmlformats.org/officeDocument/2006/relationships/printerSettings" Target="../printerSettings/printerSettings55.bin"/><Relationship Id="rId1" Type="http://schemas.openxmlformats.org/officeDocument/2006/relationships/hyperlink" Target="mailto:alltidy@alltidy.com.au" TargetMode="Externa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6.xml"/><Relationship Id="rId2" Type="http://schemas.openxmlformats.org/officeDocument/2006/relationships/printerSettings" Target="../printerSettings/printerSettings56.bin"/><Relationship Id="rId1" Type="http://schemas.openxmlformats.org/officeDocument/2006/relationships/hyperlink" Target="mailto:alltidy@alltidy.com.au" TargetMode="Externa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7.bin"/><Relationship Id="rId5" Type="http://schemas.microsoft.com/office/2017/10/relationships/threadedComment" Target="../threadedComments/threadedComment2.xml"/><Relationship Id="rId4" Type="http://schemas.openxmlformats.org/officeDocument/2006/relationships/comments" Target="../comments2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8.bin"/><Relationship Id="rId5" Type="http://schemas.microsoft.com/office/2017/10/relationships/threadedComment" Target="../threadedComments/threadedComment3.xml"/><Relationship Id="rId4" Type="http://schemas.openxmlformats.org/officeDocument/2006/relationships/comments" Target="../comments3.xml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5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FECF40-6ADF-449E-90AE-BBCF8EFED7DD}">
  <sheetPr codeName="Sheet3">
    <tabColor theme="7" tint="0.39997558519241921"/>
    <pageSetUpPr fitToPage="1"/>
  </sheetPr>
  <dimension ref="A1:R64"/>
  <sheetViews>
    <sheetView showGridLines="0" tabSelected="1" zoomScale="80" zoomScaleNormal="80" workbookViewId="0">
      <pane xSplit="2" ySplit="4" topLeftCell="C5" activePane="bottomRight" state="frozen"/>
      <selection pane="topRight" activeCell="C1" sqref="C1"/>
      <selection pane="bottomLeft" activeCell="A7" sqref="A7"/>
      <selection pane="bottomRight" activeCell="L2" sqref="L2"/>
    </sheetView>
  </sheetViews>
  <sheetFormatPr defaultColWidth="9.140625" defaultRowHeight="15" x14ac:dyDescent="0.25"/>
  <cols>
    <col min="1" max="1" width="26.140625" bestFit="1" customWidth="1"/>
    <col min="2" max="2" width="9.140625" customWidth="1"/>
    <col min="3" max="3" width="8" customWidth="1"/>
    <col min="5" max="5" width="13.28515625" bestFit="1" customWidth="1"/>
    <col min="6" max="6" width="13.140625" customWidth="1"/>
    <col min="7" max="8" width="12.7109375" bestFit="1" customWidth="1"/>
    <col min="9" max="9" width="12.85546875" bestFit="1" customWidth="1"/>
    <col min="10" max="10" width="13.140625" bestFit="1" customWidth="1"/>
    <col min="11" max="11" width="9.42578125" bestFit="1" customWidth="1"/>
    <col min="12" max="12" width="8.140625" bestFit="1" customWidth="1"/>
    <col min="13" max="13" width="7.28515625" bestFit="1" customWidth="1"/>
    <col min="14" max="14" width="8.28515625" bestFit="1" customWidth="1"/>
    <col min="15" max="15" width="9.140625" bestFit="1" customWidth="1"/>
    <col min="16" max="16" width="7.85546875" bestFit="1" customWidth="1"/>
    <col min="17" max="17" width="8.5703125" bestFit="1" customWidth="1"/>
    <col min="18" max="18" width="9.42578125" bestFit="1" customWidth="1"/>
    <col min="20" max="20" width="14.140625" customWidth="1"/>
    <col min="21" max="21" width="12.85546875" bestFit="1" customWidth="1"/>
    <col min="22" max="24" width="13" bestFit="1" customWidth="1"/>
    <col min="30" max="30" width="10.5703125" bestFit="1" customWidth="1"/>
    <col min="44" max="44" width="13" bestFit="1" customWidth="1"/>
    <col min="45" max="45" width="14.42578125" bestFit="1" customWidth="1"/>
    <col min="46" max="46" width="13" bestFit="1" customWidth="1"/>
    <col min="47" max="47" width="10.28515625" bestFit="1" customWidth="1"/>
    <col min="54" max="54" width="11.42578125" bestFit="1" customWidth="1"/>
    <col min="56" max="57" width="10.28515625" bestFit="1" customWidth="1"/>
    <col min="59" max="61" width="13" bestFit="1" customWidth="1"/>
    <col min="66" max="66" width="11.140625" customWidth="1"/>
    <col min="68" max="68" width="12.42578125" bestFit="1" customWidth="1"/>
    <col min="69" max="69" width="10.28515625" bestFit="1" customWidth="1"/>
    <col min="70" max="71" width="13" bestFit="1" customWidth="1"/>
    <col min="78" max="78" width="11.140625" bestFit="1" customWidth="1"/>
    <col min="80" max="81" width="10.28515625" bestFit="1" customWidth="1"/>
    <col min="83" max="83" width="10.28515625" bestFit="1" customWidth="1"/>
    <col min="92" max="93" width="10.28515625" bestFit="1" customWidth="1"/>
    <col min="95" max="95" width="10.28515625" bestFit="1" customWidth="1"/>
    <col min="102" max="102" width="11.140625" bestFit="1" customWidth="1"/>
    <col min="104" max="106" width="10.28515625" bestFit="1" customWidth="1"/>
    <col min="113" max="113" width="11.140625" bestFit="1" customWidth="1"/>
    <col min="115" max="117" width="10.28515625" bestFit="1" customWidth="1"/>
    <col min="123" max="123" width="11.140625" bestFit="1" customWidth="1"/>
    <col min="125" max="126" width="10.28515625" bestFit="1" customWidth="1"/>
    <col min="127" max="127" width="10" customWidth="1"/>
    <col min="133" max="133" width="11.140625" bestFit="1" customWidth="1"/>
    <col min="135" max="137" width="10.28515625" bestFit="1" customWidth="1"/>
    <col min="143" max="143" width="11.140625" bestFit="1" customWidth="1"/>
    <col min="145" max="147" width="10.28515625" bestFit="1" customWidth="1"/>
    <col min="153" max="153" width="11.140625" bestFit="1" customWidth="1"/>
    <col min="155" max="157" width="10.28515625" bestFit="1" customWidth="1"/>
    <col min="164" max="164" width="11.140625" bestFit="1" customWidth="1"/>
    <col min="166" max="168" width="10.28515625" bestFit="1" customWidth="1"/>
    <col min="176" max="176" width="11.140625" bestFit="1" customWidth="1"/>
    <col min="178" max="179" width="10.28515625" bestFit="1" customWidth="1"/>
    <col min="187" max="187" width="11.140625" bestFit="1" customWidth="1"/>
    <col min="189" max="189" width="10.28515625" bestFit="1" customWidth="1"/>
    <col min="190" max="190" width="13.42578125" bestFit="1" customWidth="1"/>
    <col min="191" max="196" width="10.5703125" bestFit="1" customWidth="1"/>
    <col min="199" max="199" width="15.140625" bestFit="1" customWidth="1"/>
    <col min="201" max="202" width="10.28515625" bestFit="1" customWidth="1"/>
    <col min="211" max="211" width="11.140625" bestFit="1" customWidth="1"/>
    <col min="213" max="214" width="10.28515625" bestFit="1" customWidth="1"/>
    <col min="223" max="223" width="11.140625" bestFit="1" customWidth="1"/>
    <col min="225" max="226" width="10.28515625" bestFit="1" customWidth="1"/>
    <col min="234" max="234" width="14.42578125" bestFit="1" customWidth="1"/>
    <col min="236" max="238" width="10.28515625" bestFit="1" customWidth="1"/>
    <col min="245" max="245" width="11.140625" bestFit="1" customWidth="1"/>
    <col min="247" max="248" width="10.28515625" bestFit="1" customWidth="1"/>
    <col min="259" max="260" width="10.28515625" bestFit="1" customWidth="1"/>
    <col min="271" max="273" width="10.28515625" bestFit="1" customWidth="1"/>
    <col min="283" max="284" width="10.28515625" bestFit="1" customWidth="1"/>
    <col min="295" max="295" width="12.28515625" bestFit="1" customWidth="1"/>
    <col min="296" max="296" width="10.7109375" bestFit="1" customWidth="1"/>
    <col min="305" max="305" width="11.140625" bestFit="1" customWidth="1"/>
    <col min="307" max="308" width="10.28515625" bestFit="1" customWidth="1"/>
    <col min="319" max="321" width="10.28515625" bestFit="1" customWidth="1"/>
    <col min="331" max="332" width="10.28515625" bestFit="1" customWidth="1"/>
    <col min="340" max="340" width="11.140625" bestFit="1" customWidth="1"/>
    <col min="342" max="343" width="10.28515625" bestFit="1" customWidth="1"/>
    <col min="353" max="353" width="10.85546875" customWidth="1"/>
    <col min="354" max="354" width="10.28515625" bestFit="1" customWidth="1"/>
    <col min="362" max="362" width="11.140625" bestFit="1" customWidth="1"/>
    <col min="364" max="365" width="10.28515625" bestFit="1" customWidth="1"/>
    <col min="373" max="373" width="11.140625" bestFit="1" customWidth="1"/>
    <col min="376" max="376" width="13.42578125" bestFit="1" customWidth="1"/>
  </cols>
  <sheetData>
    <row r="1" spans="1:18" ht="18.75" customHeight="1" x14ac:dyDescent="0.35">
      <c r="A1" s="158" t="s">
        <v>65</v>
      </c>
      <c r="B1" s="158"/>
      <c r="C1" s="158"/>
      <c r="J1" s="164" t="s">
        <v>81</v>
      </c>
    </row>
    <row r="2" spans="1:18" ht="27" customHeight="1" x14ac:dyDescent="0.25">
      <c r="A2" s="4" t="s">
        <v>65</v>
      </c>
      <c r="B2" s="2"/>
      <c r="C2" s="2"/>
      <c r="J2" s="164">
        <v>1</v>
      </c>
    </row>
    <row r="3" spans="1:18" ht="12.75" customHeight="1" x14ac:dyDescent="0.25">
      <c r="A3" s="157" t="s">
        <v>65</v>
      </c>
    </row>
    <row r="4" spans="1:18" ht="31.5" customHeight="1" thickBot="1" x14ac:dyDescent="0.3">
      <c r="A4" s="227" t="s">
        <v>2</v>
      </c>
      <c r="B4" s="236" t="s">
        <v>3</v>
      </c>
      <c r="C4" s="159" t="s">
        <v>271</v>
      </c>
      <c r="D4" s="24" t="s">
        <v>19</v>
      </c>
      <c r="E4" s="26" t="s">
        <v>284</v>
      </c>
      <c r="F4" s="26" t="s">
        <v>80</v>
      </c>
      <c r="G4" s="26" t="s">
        <v>283</v>
      </c>
      <c r="H4" s="25" t="s">
        <v>23</v>
      </c>
      <c r="I4" s="28" t="s">
        <v>20</v>
      </c>
      <c r="J4" s="261" t="s">
        <v>24</v>
      </c>
      <c r="K4" s="26" t="s">
        <v>21</v>
      </c>
      <c r="L4" s="25" t="s">
        <v>26</v>
      </c>
      <c r="M4" s="26" t="s">
        <v>25</v>
      </c>
      <c r="N4" s="27" t="s">
        <v>28</v>
      </c>
      <c r="O4" s="25" t="s">
        <v>27</v>
      </c>
      <c r="P4" s="28" t="s">
        <v>62</v>
      </c>
      <c r="Q4" s="28" t="s">
        <v>47</v>
      </c>
      <c r="R4" s="203" t="s">
        <v>66</v>
      </c>
    </row>
    <row r="5" spans="1:18" ht="17.25" customHeight="1" x14ac:dyDescent="0.25">
      <c r="A5" s="217" t="s">
        <v>223</v>
      </c>
      <c r="B5" s="224">
        <v>0</v>
      </c>
      <c r="C5" s="228">
        <v>1037</v>
      </c>
      <c r="D5" s="267">
        <v>8</v>
      </c>
      <c r="E5" s="238">
        <v>44987</v>
      </c>
      <c r="F5" s="166">
        <f>E5-1</f>
        <v>44986</v>
      </c>
      <c r="G5" s="182">
        <v>30</v>
      </c>
      <c r="H5" s="177">
        <f>D5*G5</f>
        <v>240</v>
      </c>
      <c r="I5" s="266">
        <f>H5*1.1</f>
        <v>264</v>
      </c>
      <c r="J5" s="260"/>
      <c r="K5" s="241"/>
      <c r="L5" s="247"/>
      <c r="M5" s="183"/>
      <c r="N5" s="184"/>
      <c r="O5" s="185"/>
      <c r="P5" s="186"/>
      <c r="Q5" s="186"/>
      <c r="R5" s="204">
        <f>D5*30</f>
        <v>240</v>
      </c>
    </row>
    <row r="6" spans="1:18" ht="15.95" customHeight="1" x14ac:dyDescent="0.25">
      <c r="A6" s="217" t="s">
        <v>35</v>
      </c>
      <c r="B6" s="225">
        <v>0</v>
      </c>
      <c r="C6" s="229">
        <v>24</v>
      </c>
      <c r="D6" s="268">
        <v>5</v>
      </c>
      <c r="E6" s="239">
        <v>44930</v>
      </c>
      <c r="F6" s="166">
        <f t="shared" ref="F6:F61" si="0">E6-1</f>
        <v>44929</v>
      </c>
      <c r="G6" s="182">
        <v>40</v>
      </c>
      <c r="H6" s="177">
        <f>D6*G6</f>
        <v>200</v>
      </c>
      <c r="I6" s="266">
        <f t="shared" ref="I6:I61" si="1">H6*1.1</f>
        <v>220.00000000000003</v>
      </c>
      <c r="J6" s="175" t="s">
        <v>82</v>
      </c>
      <c r="K6" s="242"/>
      <c r="L6" s="249"/>
      <c r="M6" s="183"/>
      <c r="N6" s="3"/>
      <c r="O6" s="46"/>
      <c r="P6" s="186"/>
      <c r="Q6" s="186"/>
      <c r="R6" s="204"/>
    </row>
    <row r="7" spans="1:18" ht="15.95" customHeight="1" x14ac:dyDescent="0.25">
      <c r="A7" s="218" t="s">
        <v>243</v>
      </c>
      <c r="B7" s="225">
        <v>0</v>
      </c>
      <c r="C7" s="229">
        <v>71</v>
      </c>
      <c r="D7" s="268">
        <v>0</v>
      </c>
      <c r="E7" s="239">
        <v>44931</v>
      </c>
      <c r="F7" s="166">
        <f t="shared" si="0"/>
        <v>44930</v>
      </c>
      <c r="G7" s="182">
        <v>50</v>
      </c>
      <c r="H7" s="177">
        <f t="shared" ref="H7:H61" si="2">D7*G7</f>
        <v>0</v>
      </c>
      <c r="I7" s="266">
        <f t="shared" si="1"/>
        <v>0</v>
      </c>
      <c r="J7" s="175"/>
      <c r="K7" s="242"/>
      <c r="L7" s="248"/>
      <c r="M7" s="183">
        <f>D7*28</f>
        <v>0</v>
      </c>
      <c r="N7" s="3"/>
      <c r="O7" s="46"/>
      <c r="P7" s="186"/>
      <c r="Q7" s="186"/>
      <c r="R7" s="204"/>
    </row>
    <row r="8" spans="1:18" ht="15.75" x14ac:dyDescent="0.25">
      <c r="A8" s="217" t="s">
        <v>30</v>
      </c>
      <c r="B8" s="225">
        <v>0</v>
      </c>
      <c r="C8" s="229">
        <v>25</v>
      </c>
      <c r="D8" s="268">
        <v>0</v>
      </c>
      <c r="E8" s="239">
        <v>44932</v>
      </c>
      <c r="F8" s="166">
        <f t="shared" si="0"/>
        <v>44931</v>
      </c>
      <c r="G8" s="182">
        <v>0</v>
      </c>
      <c r="H8" s="177">
        <f t="shared" si="2"/>
        <v>0</v>
      </c>
      <c r="I8" s="266">
        <f t="shared" si="1"/>
        <v>0</v>
      </c>
      <c r="J8" s="175" t="s">
        <v>82</v>
      </c>
      <c r="K8" s="243"/>
      <c r="L8" s="248"/>
      <c r="M8" s="183"/>
      <c r="N8" s="189"/>
      <c r="O8" s="187"/>
      <c r="P8" s="186">
        <f>D8*29</f>
        <v>0</v>
      </c>
      <c r="Q8" s="186"/>
      <c r="R8" s="204"/>
    </row>
    <row r="9" spans="1:18" ht="16.5" thickBot="1" x14ac:dyDescent="0.3">
      <c r="A9" s="219" t="s">
        <v>183</v>
      </c>
      <c r="B9" s="225">
        <v>0</v>
      </c>
      <c r="C9" s="229">
        <v>44</v>
      </c>
      <c r="D9" s="268">
        <v>0</v>
      </c>
      <c r="E9" s="239">
        <v>44933</v>
      </c>
      <c r="F9" s="166">
        <f t="shared" si="0"/>
        <v>44932</v>
      </c>
      <c r="G9" s="182">
        <v>0</v>
      </c>
      <c r="H9" s="177">
        <f t="shared" si="2"/>
        <v>0</v>
      </c>
      <c r="I9" s="266">
        <f t="shared" si="1"/>
        <v>0</v>
      </c>
      <c r="J9" s="175"/>
      <c r="K9" s="244"/>
      <c r="L9" s="250"/>
      <c r="M9" s="190"/>
      <c r="N9" s="192"/>
      <c r="O9" s="193"/>
      <c r="P9" s="194"/>
      <c r="Q9" s="194"/>
      <c r="R9" s="205"/>
    </row>
    <row r="10" spans="1:18" ht="15.95" customHeight="1" x14ac:dyDescent="0.25">
      <c r="A10" s="218" t="s">
        <v>152</v>
      </c>
      <c r="B10" s="225">
        <v>0</v>
      </c>
      <c r="C10" s="229">
        <v>31</v>
      </c>
      <c r="D10" s="268">
        <v>0</v>
      </c>
      <c r="E10" s="239">
        <v>44934</v>
      </c>
      <c r="F10" s="166">
        <f t="shared" si="0"/>
        <v>44933</v>
      </c>
      <c r="G10" s="182">
        <v>0</v>
      </c>
      <c r="H10" s="177">
        <f t="shared" si="2"/>
        <v>0</v>
      </c>
      <c r="I10" s="266">
        <f t="shared" si="1"/>
        <v>0</v>
      </c>
      <c r="J10" s="175"/>
      <c r="K10" s="242"/>
      <c r="L10" s="248"/>
      <c r="M10" s="183">
        <f>D10*28.5</f>
        <v>0</v>
      </c>
      <c r="N10" s="189"/>
      <c r="O10" s="187"/>
      <c r="P10" s="187"/>
      <c r="Q10" s="195"/>
      <c r="R10" s="206"/>
    </row>
    <row r="11" spans="1:18" ht="15.75" customHeight="1" x14ac:dyDescent="0.25">
      <c r="A11" s="217" t="s">
        <v>269</v>
      </c>
      <c r="B11" s="225">
        <v>0</v>
      </c>
      <c r="C11" s="229">
        <v>37</v>
      </c>
      <c r="D11" s="268">
        <v>0</v>
      </c>
      <c r="E11" s="239">
        <v>44935</v>
      </c>
      <c r="F11" s="166">
        <f t="shared" si="0"/>
        <v>44934</v>
      </c>
      <c r="G11" s="182">
        <v>0</v>
      </c>
      <c r="H11" s="177">
        <f t="shared" si="2"/>
        <v>0</v>
      </c>
      <c r="I11" s="266">
        <f t="shared" si="1"/>
        <v>0</v>
      </c>
      <c r="J11" s="175"/>
      <c r="K11" s="242"/>
      <c r="L11" s="248"/>
      <c r="M11" s="248"/>
      <c r="N11" s="256"/>
      <c r="O11" s="248"/>
      <c r="P11" s="183"/>
      <c r="Q11" s="186">
        <f>D11*30</f>
        <v>0</v>
      </c>
      <c r="R11" s="204"/>
    </row>
    <row r="12" spans="1:18" ht="15.75" x14ac:dyDescent="0.25">
      <c r="A12" s="217" t="s">
        <v>150</v>
      </c>
      <c r="B12" s="225">
        <v>0</v>
      </c>
      <c r="C12" s="229">
        <v>1022</v>
      </c>
      <c r="D12" s="268">
        <v>0</v>
      </c>
      <c r="E12" s="239">
        <v>44936</v>
      </c>
      <c r="F12" s="166">
        <f t="shared" si="0"/>
        <v>44935</v>
      </c>
      <c r="G12" s="182">
        <v>0</v>
      </c>
      <c r="H12" s="177">
        <f t="shared" si="2"/>
        <v>0</v>
      </c>
      <c r="I12" s="266">
        <f t="shared" si="1"/>
        <v>0</v>
      </c>
      <c r="J12" s="175"/>
      <c r="K12" s="243"/>
      <c r="L12" s="248"/>
      <c r="M12" s="248">
        <f>D12*28</f>
        <v>0</v>
      </c>
      <c r="N12" s="257"/>
      <c r="O12" s="249"/>
      <c r="P12" s="257"/>
      <c r="Q12" s="249"/>
      <c r="R12" s="207"/>
    </row>
    <row r="13" spans="1:18" ht="15.75" x14ac:dyDescent="0.25">
      <c r="A13" s="217" t="s">
        <v>245</v>
      </c>
      <c r="B13" s="225">
        <v>0</v>
      </c>
      <c r="C13" s="229">
        <v>80</v>
      </c>
      <c r="D13" s="268">
        <v>0</v>
      </c>
      <c r="E13" s="239">
        <v>44937</v>
      </c>
      <c r="F13" s="166">
        <f t="shared" si="0"/>
        <v>44936</v>
      </c>
      <c r="G13" s="182">
        <v>0</v>
      </c>
      <c r="H13" s="177">
        <f t="shared" si="2"/>
        <v>0</v>
      </c>
      <c r="I13" s="266">
        <f t="shared" si="1"/>
        <v>0</v>
      </c>
      <c r="J13" s="175"/>
      <c r="K13" s="243">
        <f>D13*28</f>
        <v>0</v>
      </c>
      <c r="L13" s="248"/>
      <c r="M13" s="248"/>
      <c r="N13" s="257"/>
      <c r="O13" s="249"/>
      <c r="P13" s="257"/>
      <c r="Q13" s="249"/>
      <c r="R13" s="207"/>
    </row>
    <row r="14" spans="1:18" ht="16.5" customHeight="1" x14ac:dyDescent="0.25">
      <c r="A14" s="217" t="s">
        <v>155</v>
      </c>
      <c r="B14" s="225">
        <v>0</v>
      </c>
      <c r="C14" s="229">
        <v>18</v>
      </c>
      <c r="D14" s="268">
        <v>0</v>
      </c>
      <c r="E14" s="239">
        <v>44938</v>
      </c>
      <c r="F14" s="166">
        <f t="shared" si="0"/>
        <v>44937</v>
      </c>
      <c r="G14" s="182">
        <v>0</v>
      </c>
      <c r="H14" s="177">
        <f t="shared" si="2"/>
        <v>0</v>
      </c>
      <c r="I14" s="266">
        <f t="shared" si="1"/>
        <v>0</v>
      </c>
      <c r="J14" s="175"/>
      <c r="K14" s="243"/>
      <c r="L14" s="248"/>
      <c r="M14" s="248"/>
      <c r="N14" s="257"/>
      <c r="O14" s="249"/>
      <c r="P14" s="257"/>
      <c r="Q14" s="249"/>
      <c r="R14" s="207"/>
    </row>
    <row r="15" spans="1:18" ht="15.75" x14ac:dyDescent="0.25">
      <c r="A15" s="217" t="s">
        <v>185</v>
      </c>
      <c r="B15" s="225">
        <v>0</v>
      </c>
      <c r="C15" s="229">
        <v>22</v>
      </c>
      <c r="D15" s="268">
        <v>0</v>
      </c>
      <c r="E15" s="239">
        <v>44939</v>
      </c>
      <c r="F15" s="166">
        <f t="shared" si="0"/>
        <v>44938</v>
      </c>
      <c r="G15" s="182">
        <v>0</v>
      </c>
      <c r="H15" s="177">
        <f t="shared" si="2"/>
        <v>0</v>
      </c>
      <c r="I15" s="266">
        <f t="shared" si="1"/>
        <v>0</v>
      </c>
      <c r="J15" s="175"/>
      <c r="K15" s="242"/>
      <c r="L15" s="248"/>
      <c r="M15" s="248"/>
      <c r="N15" s="256"/>
      <c r="O15" s="248"/>
      <c r="P15" s="256">
        <f>D15*29</f>
        <v>0</v>
      </c>
      <c r="Q15" s="248"/>
      <c r="R15" s="208"/>
    </row>
    <row r="16" spans="1:18" ht="15.75" customHeight="1" x14ac:dyDescent="0.25">
      <c r="A16" s="217" t="s">
        <v>76</v>
      </c>
      <c r="B16" s="225">
        <v>0</v>
      </c>
      <c r="C16" s="229">
        <v>1030</v>
      </c>
      <c r="D16" s="268">
        <v>0</v>
      </c>
      <c r="E16" s="239">
        <v>44940</v>
      </c>
      <c r="F16" s="166">
        <f t="shared" si="0"/>
        <v>44939</v>
      </c>
      <c r="G16" s="182">
        <v>0</v>
      </c>
      <c r="H16" s="177">
        <f t="shared" si="2"/>
        <v>0</v>
      </c>
      <c r="I16" s="266">
        <f t="shared" si="1"/>
        <v>0</v>
      </c>
      <c r="J16" s="175" t="s">
        <v>82</v>
      </c>
      <c r="K16" s="245"/>
      <c r="L16" s="248"/>
      <c r="M16" s="248"/>
      <c r="N16" s="256"/>
      <c r="O16" s="248"/>
      <c r="P16" s="256"/>
      <c r="Q16" s="248"/>
      <c r="R16" s="208"/>
    </row>
    <row r="17" spans="1:18" ht="16.5" customHeight="1" x14ac:dyDescent="0.25">
      <c r="A17" s="217" t="s">
        <v>188</v>
      </c>
      <c r="B17" s="225">
        <v>0</v>
      </c>
      <c r="C17" s="229">
        <v>3</v>
      </c>
      <c r="D17" s="268">
        <v>0</v>
      </c>
      <c r="E17" s="239">
        <v>44941</v>
      </c>
      <c r="F17" s="166">
        <f t="shared" si="0"/>
        <v>44940</v>
      </c>
      <c r="G17" s="182">
        <v>0</v>
      </c>
      <c r="H17" s="177">
        <f t="shared" si="2"/>
        <v>0</v>
      </c>
      <c r="I17" s="266">
        <f t="shared" si="1"/>
        <v>0</v>
      </c>
      <c r="J17" s="175"/>
      <c r="K17" s="243"/>
      <c r="L17" s="248"/>
      <c r="M17" s="249"/>
      <c r="N17" s="257"/>
      <c r="O17" s="249"/>
      <c r="P17" s="256"/>
      <c r="Q17" s="248"/>
      <c r="R17" s="208"/>
    </row>
    <row r="18" spans="1:18" ht="15.75" x14ac:dyDescent="0.25">
      <c r="A18" s="217" t="s">
        <v>119</v>
      </c>
      <c r="B18" s="225">
        <v>0</v>
      </c>
      <c r="C18" s="229">
        <v>1018</v>
      </c>
      <c r="D18" s="268">
        <v>0</v>
      </c>
      <c r="E18" s="239">
        <v>44942</v>
      </c>
      <c r="F18" s="166">
        <f t="shared" si="0"/>
        <v>44941</v>
      </c>
      <c r="G18" s="182">
        <v>0</v>
      </c>
      <c r="H18" s="177">
        <f t="shared" si="2"/>
        <v>0</v>
      </c>
      <c r="I18" s="266">
        <f t="shared" si="1"/>
        <v>0</v>
      </c>
      <c r="J18" s="175"/>
      <c r="K18" s="242">
        <f>D18*29.5</f>
        <v>0</v>
      </c>
      <c r="L18" s="248"/>
      <c r="M18" s="248"/>
      <c r="N18" s="256"/>
      <c r="O18" s="248"/>
      <c r="P18" s="256"/>
      <c r="Q18" s="248"/>
      <c r="R18" s="208"/>
    </row>
    <row r="19" spans="1:18" ht="16.5" customHeight="1" x14ac:dyDescent="0.25">
      <c r="A19" s="217" t="s">
        <v>36</v>
      </c>
      <c r="B19" s="225">
        <v>0</v>
      </c>
      <c r="C19" s="229">
        <v>28</v>
      </c>
      <c r="D19" s="268">
        <v>0</v>
      </c>
      <c r="E19" s="239">
        <v>44943</v>
      </c>
      <c r="F19" s="166">
        <f t="shared" si="0"/>
        <v>44942</v>
      </c>
      <c r="G19" s="182">
        <v>0</v>
      </c>
      <c r="H19" s="177">
        <f t="shared" si="2"/>
        <v>0</v>
      </c>
      <c r="I19" s="266">
        <f t="shared" si="1"/>
        <v>0</v>
      </c>
      <c r="J19" s="175"/>
      <c r="K19" s="242"/>
      <c r="L19" s="249">
        <f>D19*28.5</f>
        <v>0</v>
      </c>
      <c r="M19" s="183"/>
      <c r="N19" s="256"/>
      <c r="O19" s="183"/>
      <c r="P19" s="242"/>
      <c r="Q19" s="248"/>
      <c r="R19" s="208"/>
    </row>
    <row r="20" spans="1:18" ht="15.75" x14ac:dyDescent="0.25">
      <c r="A20" s="217" t="s">
        <v>123</v>
      </c>
      <c r="B20" s="225">
        <v>0</v>
      </c>
      <c r="C20" s="229">
        <v>150</v>
      </c>
      <c r="D20" s="268">
        <v>0</v>
      </c>
      <c r="E20" s="239">
        <v>44944</v>
      </c>
      <c r="F20" s="166">
        <f t="shared" si="0"/>
        <v>44943</v>
      </c>
      <c r="G20" s="182">
        <v>0</v>
      </c>
      <c r="H20" s="177">
        <f t="shared" si="2"/>
        <v>0</v>
      </c>
      <c r="I20" s="266">
        <f t="shared" si="1"/>
        <v>0</v>
      </c>
      <c r="J20" s="175"/>
      <c r="K20" s="242">
        <f>D20*28</f>
        <v>0</v>
      </c>
      <c r="L20" s="248"/>
      <c r="M20" s="183"/>
      <c r="N20" s="3"/>
      <c r="O20" s="46"/>
      <c r="P20" s="186"/>
      <c r="Q20" s="186"/>
      <c r="R20" s="204"/>
    </row>
    <row r="21" spans="1:18" ht="15.75" x14ac:dyDescent="0.25">
      <c r="A21" s="217" t="s">
        <v>31</v>
      </c>
      <c r="B21" s="225">
        <v>0</v>
      </c>
      <c r="C21" s="229">
        <v>42</v>
      </c>
      <c r="D21" s="268">
        <v>0</v>
      </c>
      <c r="E21" s="239">
        <v>44945</v>
      </c>
      <c r="F21" s="166">
        <f t="shared" si="0"/>
        <v>44944</v>
      </c>
      <c r="G21" s="182">
        <v>0</v>
      </c>
      <c r="H21" s="177">
        <f t="shared" si="2"/>
        <v>0</v>
      </c>
      <c r="I21" s="266">
        <f t="shared" si="1"/>
        <v>0</v>
      </c>
      <c r="J21" s="175"/>
      <c r="K21" s="243"/>
      <c r="L21" s="248"/>
      <c r="M21" s="188"/>
      <c r="N21" s="189"/>
      <c r="O21" s="187"/>
      <c r="P21" s="186">
        <f>D21*29</f>
        <v>0</v>
      </c>
      <c r="Q21" s="186"/>
      <c r="R21" s="204"/>
    </row>
    <row r="22" spans="1:18" ht="16.5" thickBot="1" x14ac:dyDescent="0.3">
      <c r="A22" s="219" t="s">
        <v>32</v>
      </c>
      <c r="B22" s="225">
        <v>0</v>
      </c>
      <c r="C22" s="229">
        <v>53</v>
      </c>
      <c r="D22" s="268">
        <v>0</v>
      </c>
      <c r="E22" s="239">
        <v>44946</v>
      </c>
      <c r="F22" s="166">
        <f t="shared" si="0"/>
        <v>44945</v>
      </c>
      <c r="G22" s="182">
        <v>0</v>
      </c>
      <c r="H22" s="177">
        <f t="shared" si="2"/>
        <v>0</v>
      </c>
      <c r="I22" s="266">
        <f t="shared" si="1"/>
        <v>0</v>
      </c>
      <c r="J22" s="175"/>
      <c r="K22" s="244">
        <f>D22*29.5</f>
        <v>0</v>
      </c>
      <c r="L22" s="250"/>
      <c r="M22" s="190"/>
      <c r="N22" s="197"/>
      <c r="O22" s="191"/>
      <c r="P22" s="198"/>
      <c r="Q22" s="198"/>
      <c r="R22" s="209"/>
    </row>
    <row r="23" spans="1:18" ht="15.75" customHeight="1" x14ac:dyDescent="0.25">
      <c r="A23" s="218" t="s">
        <v>205</v>
      </c>
      <c r="B23" s="225">
        <v>0</v>
      </c>
      <c r="C23" s="230">
        <v>52</v>
      </c>
      <c r="D23" s="268">
        <v>0</v>
      </c>
      <c r="E23" s="239">
        <v>44947</v>
      </c>
      <c r="F23" s="166">
        <f t="shared" si="0"/>
        <v>44946</v>
      </c>
      <c r="G23" s="182">
        <v>0</v>
      </c>
      <c r="H23" s="177">
        <f t="shared" si="2"/>
        <v>0</v>
      </c>
      <c r="I23" s="266">
        <f t="shared" si="1"/>
        <v>0</v>
      </c>
      <c r="J23" s="175"/>
      <c r="K23" s="243"/>
      <c r="L23" s="249"/>
      <c r="M23" s="183">
        <f>D23*28</f>
        <v>0</v>
      </c>
      <c r="N23" s="3"/>
      <c r="O23" s="46"/>
      <c r="P23" s="186"/>
      <c r="Q23" s="186"/>
      <c r="R23" s="204"/>
    </row>
    <row r="24" spans="1:18" ht="15.95" customHeight="1" x14ac:dyDescent="0.25">
      <c r="A24" s="217" t="s">
        <v>207</v>
      </c>
      <c r="B24" s="225">
        <v>0</v>
      </c>
      <c r="C24" s="229">
        <v>29</v>
      </c>
      <c r="D24" s="268">
        <v>0</v>
      </c>
      <c r="E24" s="239">
        <v>44948</v>
      </c>
      <c r="F24" s="166">
        <f t="shared" si="0"/>
        <v>44947</v>
      </c>
      <c r="G24" s="182">
        <v>0</v>
      </c>
      <c r="H24" s="177">
        <f t="shared" si="2"/>
        <v>0</v>
      </c>
      <c r="I24" s="266">
        <f t="shared" si="1"/>
        <v>0</v>
      </c>
      <c r="J24" s="175"/>
      <c r="K24" s="242"/>
      <c r="L24" s="248"/>
      <c r="M24" s="183"/>
      <c r="N24" s="3"/>
      <c r="O24" s="46"/>
      <c r="P24" s="186"/>
      <c r="Q24" s="186"/>
      <c r="R24" s="204"/>
    </row>
    <row r="25" spans="1:18" ht="16.5" customHeight="1" x14ac:dyDescent="0.25">
      <c r="A25" s="217" t="s">
        <v>272</v>
      </c>
      <c r="B25" s="225">
        <v>0</v>
      </c>
      <c r="C25" s="229">
        <v>54</v>
      </c>
      <c r="D25" s="268">
        <v>0</v>
      </c>
      <c r="E25" s="239">
        <v>44949</v>
      </c>
      <c r="F25" s="166">
        <f t="shared" si="0"/>
        <v>44948</v>
      </c>
      <c r="G25" s="182">
        <v>0</v>
      </c>
      <c r="H25" s="177">
        <f t="shared" si="2"/>
        <v>0</v>
      </c>
      <c r="I25" s="266">
        <f t="shared" si="1"/>
        <v>0</v>
      </c>
      <c r="J25" s="175"/>
      <c r="K25" s="243"/>
      <c r="L25" s="248"/>
      <c r="M25" s="249"/>
      <c r="N25" s="248"/>
      <c r="O25" s="183"/>
      <c r="P25" s="46"/>
      <c r="Q25" s="186">
        <f>D25*30</f>
        <v>0</v>
      </c>
      <c r="R25" s="204"/>
    </row>
    <row r="26" spans="1:18" ht="16.5" customHeight="1" x14ac:dyDescent="0.25">
      <c r="A26" s="217" t="s">
        <v>286</v>
      </c>
      <c r="B26" s="225">
        <v>0</v>
      </c>
      <c r="C26" s="229">
        <v>80</v>
      </c>
      <c r="D26" s="268">
        <v>0</v>
      </c>
      <c r="E26" s="239">
        <v>44950</v>
      </c>
      <c r="F26" s="166">
        <f t="shared" si="0"/>
        <v>44949</v>
      </c>
      <c r="G26" s="182">
        <v>0</v>
      </c>
      <c r="H26" s="177">
        <f t="shared" si="2"/>
        <v>0</v>
      </c>
      <c r="I26" s="266">
        <f t="shared" si="1"/>
        <v>0</v>
      </c>
      <c r="J26" s="175"/>
      <c r="K26" s="242"/>
      <c r="L26" s="248"/>
      <c r="M26" s="248">
        <f>D26*28</f>
        <v>0</v>
      </c>
      <c r="N26" s="248"/>
      <c r="O26" s="248"/>
      <c r="P26" s="248"/>
      <c r="Q26" s="256"/>
      <c r="R26" s="208"/>
    </row>
    <row r="27" spans="1:18" ht="16.5" customHeight="1" x14ac:dyDescent="0.25">
      <c r="A27" s="217" t="s">
        <v>163</v>
      </c>
      <c r="B27" s="225">
        <v>0</v>
      </c>
      <c r="C27" s="229">
        <v>37</v>
      </c>
      <c r="D27" s="268">
        <v>0</v>
      </c>
      <c r="E27" s="239">
        <v>44951</v>
      </c>
      <c r="F27" s="166">
        <f t="shared" si="0"/>
        <v>44950</v>
      </c>
      <c r="G27" s="182">
        <v>0</v>
      </c>
      <c r="H27" s="177">
        <f t="shared" si="2"/>
        <v>0</v>
      </c>
      <c r="I27" s="266">
        <f t="shared" si="1"/>
        <v>0</v>
      </c>
      <c r="J27" s="175"/>
      <c r="K27" s="242"/>
      <c r="L27" s="249"/>
      <c r="M27" s="248"/>
      <c r="N27" s="248"/>
      <c r="O27" s="248"/>
      <c r="P27" s="248"/>
      <c r="Q27" s="256"/>
      <c r="R27" s="208"/>
    </row>
    <row r="28" spans="1:18" ht="15.75" customHeight="1" x14ac:dyDescent="0.25">
      <c r="A28" s="217" t="s">
        <v>5</v>
      </c>
      <c r="B28" s="225">
        <v>0</v>
      </c>
      <c r="C28" s="229">
        <v>92</v>
      </c>
      <c r="D28" s="268">
        <v>0</v>
      </c>
      <c r="E28" s="239">
        <v>44952</v>
      </c>
      <c r="F28" s="166">
        <f t="shared" si="0"/>
        <v>44951</v>
      </c>
      <c r="G28" s="182">
        <v>0</v>
      </c>
      <c r="H28" s="177">
        <f t="shared" si="2"/>
        <v>0</v>
      </c>
      <c r="I28" s="266">
        <f t="shared" si="1"/>
        <v>0</v>
      </c>
      <c r="J28" s="175"/>
      <c r="K28" s="242"/>
      <c r="L28" s="248"/>
      <c r="M28" s="248"/>
      <c r="N28" s="248"/>
      <c r="O28" s="248"/>
      <c r="P28" s="248"/>
      <c r="Q28" s="256"/>
      <c r="R28" s="208"/>
    </row>
    <row r="29" spans="1:18" ht="15" customHeight="1" x14ac:dyDescent="0.25">
      <c r="A29" s="217" t="s">
        <v>53</v>
      </c>
      <c r="B29" s="225">
        <v>0</v>
      </c>
      <c r="C29" s="229">
        <v>1006</v>
      </c>
      <c r="D29" s="268">
        <v>0</v>
      </c>
      <c r="E29" s="239">
        <v>44953</v>
      </c>
      <c r="F29" s="166">
        <f t="shared" si="0"/>
        <v>44952</v>
      </c>
      <c r="G29" s="182">
        <v>0</v>
      </c>
      <c r="H29" s="177">
        <f t="shared" si="2"/>
        <v>0</v>
      </c>
      <c r="I29" s="266">
        <f t="shared" si="1"/>
        <v>0</v>
      </c>
      <c r="J29" s="175"/>
      <c r="K29" s="242"/>
      <c r="L29" s="249"/>
      <c r="M29" s="248"/>
      <c r="N29" s="248"/>
      <c r="O29" s="248"/>
      <c r="P29" s="248"/>
      <c r="Q29" s="256"/>
      <c r="R29" s="208"/>
    </row>
    <row r="30" spans="1:18" ht="15.75" x14ac:dyDescent="0.25">
      <c r="A30" s="217" t="s">
        <v>200</v>
      </c>
      <c r="B30" s="225">
        <v>0</v>
      </c>
      <c r="C30" s="231">
        <v>1056</v>
      </c>
      <c r="D30" s="268">
        <v>0</v>
      </c>
      <c r="E30" s="239">
        <v>44954</v>
      </c>
      <c r="F30" s="166">
        <f t="shared" si="0"/>
        <v>44953</v>
      </c>
      <c r="G30" s="182">
        <v>0</v>
      </c>
      <c r="H30" s="177">
        <f t="shared" si="2"/>
        <v>0</v>
      </c>
      <c r="I30" s="266">
        <f t="shared" si="1"/>
        <v>0</v>
      </c>
      <c r="J30" s="175"/>
      <c r="K30" s="243"/>
      <c r="L30" s="248"/>
      <c r="M30" s="249">
        <f>D30*28</f>
        <v>0</v>
      </c>
      <c r="N30" s="249"/>
      <c r="O30" s="249"/>
      <c r="P30" s="249"/>
      <c r="Q30" s="257"/>
      <c r="R30" s="207"/>
    </row>
    <row r="31" spans="1:18" ht="15.75" x14ac:dyDescent="0.25">
      <c r="A31" s="217" t="s">
        <v>33</v>
      </c>
      <c r="B31" s="225">
        <v>0</v>
      </c>
      <c r="C31" s="228">
        <v>1028</v>
      </c>
      <c r="D31" s="268">
        <v>0</v>
      </c>
      <c r="E31" s="239">
        <v>44955</v>
      </c>
      <c r="F31" s="166">
        <f t="shared" si="0"/>
        <v>44954</v>
      </c>
      <c r="G31" s="182">
        <v>0</v>
      </c>
      <c r="H31" s="177">
        <f t="shared" si="2"/>
        <v>0</v>
      </c>
      <c r="I31" s="266">
        <f t="shared" si="1"/>
        <v>0</v>
      </c>
      <c r="J31" s="175"/>
      <c r="K31" s="242">
        <f>D31*29.5</f>
        <v>0</v>
      </c>
      <c r="L31" s="251"/>
      <c r="M31" s="251"/>
      <c r="N31" s="251"/>
      <c r="O31" s="251"/>
      <c r="P31" s="251"/>
      <c r="Q31" s="258"/>
      <c r="R31" s="255"/>
    </row>
    <row r="32" spans="1:18" ht="15.75" x14ac:dyDescent="0.25">
      <c r="A32" s="217" t="s">
        <v>39</v>
      </c>
      <c r="B32" s="225">
        <v>0</v>
      </c>
      <c r="C32" s="229">
        <v>204</v>
      </c>
      <c r="D32" s="268">
        <v>0</v>
      </c>
      <c r="E32" s="239">
        <v>44956</v>
      </c>
      <c r="F32" s="166">
        <f t="shared" si="0"/>
        <v>44955</v>
      </c>
      <c r="G32" s="182">
        <v>0</v>
      </c>
      <c r="H32" s="177">
        <f t="shared" si="2"/>
        <v>0</v>
      </c>
      <c r="I32" s="266">
        <f t="shared" si="1"/>
        <v>0</v>
      </c>
      <c r="J32" s="175"/>
      <c r="K32" s="242"/>
      <c r="L32" s="249"/>
      <c r="M32" s="249">
        <f>D32*29</f>
        <v>0</v>
      </c>
      <c r="N32" s="248"/>
      <c r="O32" s="248"/>
      <c r="P32" s="248"/>
      <c r="Q32" s="256"/>
      <c r="R32" s="208"/>
    </row>
    <row r="33" spans="1:18" ht="16.5" customHeight="1" thickBot="1" x14ac:dyDescent="0.3">
      <c r="A33" s="219" t="s">
        <v>268</v>
      </c>
      <c r="B33" s="225">
        <v>0</v>
      </c>
      <c r="C33" s="229">
        <v>60</v>
      </c>
      <c r="D33" s="268">
        <v>0</v>
      </c>
      <c r="E33" s="239">
        <v>44957</v>
      </c>
      <c r="F33" s="166">
        <f t="shared" si="0"/>
        <v>44956</v>
      </c>
      <c r="G33" s="182">
        <v>0</v>
      </c>
      <c r="H33" s="177">
        <f t="shared" si="2"/>
        <v>0</v>
      </c>
      <c r="I33" s="266">
        <f t="shared" si="1"/>
        <v>0</v>
      </c>
      <c r="J33" s="175"/>
      <c r="K33" s="246"/>
      <c r="L33" s="250"/>
      <c r="M33" s="250">
        <f>D33*28</f>
        <v>0</v>
      </c>
      <c r="N33" s="250"/>
      <c r="O33" s="250"/>
      <c r="P33" s="250"/>
      <c r="Q33" s="259"/>
      <c r="R33" s="210"/>
    </row>
    <row r="34" spans="1:18" ht="15.75" customHeight="1" x14ac:dyDescent="0.25">
      <c r="A34" s="218" t="s">
        <v>73</v>
      </c>
      <c r="B34" s="225">
        <v>0</v>
      </c>
      <c r="C34" s="229">
        <v>1007</v>
      </c>
      <c r="D34" s="268">
        <v>0</v>
      </c>
      <c r="E34" s="239">
        <v>44958</v>
      </c>
      <c r="F34" s="166">
        <f t="shared" si="0"/>
        <v>44957</v>
      </c>
      <c r="G34" s="182">
        <v>0</v>
      </c>
      <c r="H34" s="177">
        <f t="shared" si="2"/>
        <v>0</v>
      </c>
      <c r="I34" s="266">
        <f t="shared" si="1"/>
        <v>0</v>
      </c>
      <c r="J34" s="175"/>
      <c r="K34" s="242"/>
      <c r="L34" s="249"/>
      <c r="M34" s="248"/>
      <c r="N34" s="248"/>
      <c r="O34" s="248"/>
      <c r="P34" s="248"/>
      <c r="Q34" s="256"/>
      <c r="R34" s="208"/>
    </row>
    <row r="35" spans="1:18" ht="16.5" customHeight="1" x14ac:dyDescent="0.25">
      <c r="A35" s="217" t="s">
        <v>165</v>
      </c>
      <c r="B35" s="225">
        <v>0</v>
      </c>
      <c r="C35" s="229">
        <v>1035</v>
      </c>
      <c r="D35" s="268">
        <v>0</v>
      </c>
      <c r="E35" s="239">
        <v>44959</v>
      </c>
      <c r="F35" s="166">
        <f t="shared" si="0"/>
        <v>44958</v>
      </c>
      <c r="G35" s="182">
        <v>0</v>
      </c>
      <c r="H35" s="177">
        <f t="shared" si="2"/>
        <v>0</v>
      </c>
      <c r="I35" s="266">
        <f t="shared" si="1"/>
        <v>0</v>
      </c>
      <c r="J35" s="175"/>
      <c r="K35" s="243"/>
      <c r="L35" s="249">
        <f>D35*28.5</f>
        <v>0</v>
      </c>
      <c r="M35" s="183"/>
      <c r="N35" s="189"/>
      <c r="O35" s="187"/>
      <c r="P35" s="195"/>
      <c r="Q35" s="243"/>
      <c r="R35" s="207"/>
    </row>
    <row r="36" spans="1:18" ht="15.75" customHeight="1" x14ac:dyDescent="0.25">
      <c r="A36" s="217" t="s">
        <v>194</v>
      </c>
      <c r="B36" s="225">
        <v>0</v>
      </c>
      <c r="C36" s="231">
        <v>1038</v>
      </c>
      <c r="D36" s="268">
        <v>0</v>
      </c>
      <c r="E36" s="239">
        <v>44960</v>
      </c>
      <c r="F36" s="166">
        <f t="shared" si="0"/>
        <v>44959</v>
      </c>
      <c r="G36" s="182">
        <v>0</v>
      </c>
      <c r="H36" s="177">
        <f t="shared" si="2"/>
        <v>0</v>
      </c>
      <c r="I36" s="266">
        <f t="shared" si="1"/>
        <v>0</v>
      </c>
      <c r="J36" s="175"/>
      <c r="K36" s="242"/>
      <c r="L36" s="248"/>
      <c r="M36" s="188">
        <f>D36*28.5</f>
        <v>0</v>
      </c>
      <c r="N36" s="3"/>
      <c r="O36" s="46"/>
      <c r="P36" s="186"/>
      <c r="Q36" s="186"/>
      <c r="R36" s="204"/>
    </row>
    <row r="37" spans="1:18" ht="15.75" x14ac:dyDescent="0.25">
      <c r="A37" s="217" t="s">
        <v>211</v>
      </c>
      <c r="B37" s="225">
        <v>0</v>
      </c>
      <c r="C37" s="229">
        <v>29</v>
      </c>
      <c r="D37" s="268">
        <v>0</v>
      </c>
      <c r="E37" s="239">
        <v>44961</v>
      </c>
      <c r="F37" s="166">
        <f t="shared" si="0"/>
        <v>44960</v>
      </c>
      <c r="G37" s="182">
        <v>0</v>
      </c>
      <c r="H37" s="177">
        <f t="shared" si="2"/>
        <v>0</v>
      </c>
      <c r="I37" s="266">
        <f t="shared" si="1"/>
        <v>0</v>
      </c>
      <c r="J37" s="175"/>
      <c r="K37" s="242"/>
      <c r="L37" s="248"/>
      <c r="M37" s="183"/>
      <c r="N37" s="3"/>
      <c r="O37" s="46"/>
      <c r="P37" s="186"/>
      <c r="Q37" s="186"/>
      <c r="R37" s="204"/>
    </row>
    <row r="38" spans="1:18" ht="15.75" x14ac:dyDescent="0.25">
      <c r="A38" s="217" t="s">
        <v>67</v>
      </c>
      <c r="B38" s="225">
        <v>0</v>
      </c>
      <c r="C38" s="231">
        <v>17</v>
      </c>
      <c r="D38" s="268">
        <v>0</v>
      </c>
      <c r="E38" s="239">
        <v>44962</v>
      </c>
      <c r="F38" s="166">
        <f t="shared" si="0"/>
        <v>44961</v>
      </c>
      <c r="G38" s="182">
        <v>0</v>
      </c>
      <c r="H38" s="177">
        <f t="shared" si="2"/>
        <v>0</v>
      </c>
      <c r="I38" s="266">
        <f t="shared" si="1"/>
        <v>0</v>
      </c>
      <c r="J38" s="175"/>
      <c r="K38" s="242"/>
      <c r="L38" s="248"/>
      <c r="M38" s="188"/>
      <c r="N38" s="3"/>
      <c r="O38" s="46"/>
      <c r="P38" s="186"/>
      <c r="Q38" s="186"/>
      <c r="R38" s="204"/>
    </row>
    <row r="39" spans="1:18" ht="15.75" x14ac:dyDescent="0.25">
      <c r="A39" s="217" t="s">
        <v>170</v>
      </c>
      <c r="B39" s="225">
        <v>0</v>
      </c>
      <c r="C39" s="229">
        <v>22</v>
      </c>
      <c r="D39" s="268">
        <v>0</v>
      </c>
      <c r="E39" s="239">
        <v>44963</v>
      </c>
      <c r="F39" s="166">
        <f t="shared" si="0"/>
        <v>44962</v>
      </c>
      <c r="G39" s="182">
        <v>0</v>
      </c>
      <c r="H39" s="177">
        <f t="shared" si="2"/>
        <v>0</v>
      </c>
      <c r="I39" s="266">
        <f t="shared" si="1"/>
        <v>0</v>
      </c>
      <c r="J39" s="175"/>
      <c r="K39" s="242"/>
      <c r="L39" s="249"/>
      <c r="M39" s="188"/>
      <c r="N39" s="186"/>
      <c r="O39" s="46"/>
      <c r="P39" s="186"/>
      <c r="Q39" s="186"/>
      <c r="R39" s="204"/>
    </row>
    <row r="40" spans="1:18" ht="15.75" x14ac:dyDescent="0.25">
      <c r="A40" s="217" t="s">
        <v>174</v>
      </c>
      <c r="B40" s="225">
        <v>0</v>
      </c>
      <c r="C40" s="228">
        <v>1042</v>
      </c>
      <c r="D40" s="268">
        <v>0</v>
      </c>
      <c r="E40" s="239">
        <v>44964</v>
      </c>
      <c r="F40" s="166">
        <f t="shared" si="0"/>
        <v>44963</v>
      </c>
      <c r="G40" s="182">
        <v>0</v>
      </c>
      <c r="H40" s="177">
        <f t="shared" si="2"/>
        <v>0</v>
      </c>
      <c r="I40" s="266">
        <f t="shared" si="1"/>
        <v>0</v>
      </c>
      <c r="J40" s="175"/>
      <c r="K40" s="242"/>
      <c r="L40" s="248"/>
      <c r="M40" s="183"/>
      <c r="N40" s="186"/>
      <c r="O40" s="46"/>
      <c r="P40" s="186">
        <f>D40*29</f>
        <v>0</v>
      </c>
      <c r="Q40" s="186"/>
      <c r="R40" s="204"/>
    </row>
    <row r="41" spans="1:18" ht="16.5" customHeight="1" thickBot="1" x14ac:dyDescent="0.3">
      <c r="A41" s="219" t="s">
        <v>270</v>
      </c>
      <c r="B41" s="225">
        <v>0</v>
      </c>
      <c r="C41" s="230">
        <v>37</v>
      </c>
      <c r="D41" s="268">
        <v>0</v>
      </c>
      <c r="E41" s="239">
        <v>44965</v>
      </c>
      <c r="F41" s="166">
        <f t="shared" si="0"/>
        <v>44964</v>
      </c>
      <c r="G41" s="182">
        <v>0</v>
      </c>
      <c r="H41" s="177">
        <f t="shared" si="2"/>
        <v>0</v>
      </c>
      <c r="I41" s="266">
        <f t="shared" si="1"/>
        <v>0</v>
      </c>
      <c r="J41" s="175"/>
      <c r="K41" s="246"/>
      <c r="L41" s="252">
        <f>D41*28.5</f>
        <v>0</v>
      </c>
      <c r="M41" s="190"/>
      <c r="N41" s="197"/>
      <c r="O41" s="191"/>
      <c r="P41" s="198"/>
      <c r="Q41" s="198"/>
      <c r="R41" s="209"/>
    </row>
    <row r="42" spans="1:18" ht="15" customHeight="1" x14ac:dyDescent="0.25">
      <c r="A42" s="218" t="s">
        <v>4</v>
      </c>
      <c r="B42" s="225">
        <v>0</v>
      </c>
      <c r="C42" s="229">
        <v>0</v>
      </c>
      <c r="D42" s="268">
        <v>0</v>
      </c>
      <c r="E42" s="239">
        <v>44966</v>
      </c>
      <c r="F42" s="166">
        <f t="shared" si="0"/>
        <v>44965</v>
      </c>
      <c r="G42" s="182">
        <v>0</v>
      </c>
      <c r="H42" s="177">
        <f t="shared" si="2"/>
        <v>0</v>
      </c>
      <c r="I42" s="266">
        <f t="shared" si="1"/>
        <v>0</v>
      </c>
      <c r="J42" s="175"/>
      <c r="K42" s="242"/>
      <c r="L42" s="248"/>
      <c r="M42" s="183"/>
      <c r="N42" s="3">
        <f>D42*29</f>
        <v>0</v>
      </c>
      <c r="O42" s="46"/>
      <c r="P42" s="186"/>
      <c r="Q42" s="186"/>
      <c r="R42" s="204"/>
    </row>
    <row r="43" spans="1:18" ht="15.75" x14ac:dyDescent="0.25">
      <c r="A43" s="217" t="s">
        <v>176</v>
      </c>
      <c r="B43" s="225">
        <v>0</v>
      </c>
      <c r="C43" s="228">
        <v>120</v>
      </c>
      <c r="D43" s="268">
        <v>10</v>
      </c>
      <c r="E43" s="239" t="s">
        <v>281</v>
      </c>
      <c r="F43" s="166">
        <f t="shared" si="0"/>
        <v>32715</v>
      </c>
      <c r="G43" s="182">
        <v>0</v>
      </c>
      <c r="H43" s="177">
        <f t="shared" si="2"/>
        <v>0</v>
      </c>
      <c r="I43" s="266">
        <f t="shared" si="1"/>
        <v>0</v>
      </c>
      <c r="J43" s="175"/>
      <c r="K43" s="243">
        <f>D43*29</f>
        <v>290</v>
      </c>
      <c r="L43" s="253"/>
      <c r="M43" s="199"/>
      <c r="N43" s="189"/>
      <c r="O43" s="187"/>
      <c r="P43" s="195"/>
      <c r="Q43" s="195"/>
      <c r="R43" s="206"/>
    </row>
    <row r="44" spans="1:18" ht="15.75" x14ac:dyDescent="0.25">
      <c r="A44" s="217" t="s">
        <v>37</v>
      </c>
      <c r="B44" s="225">
        <v>0</v>
      </c>
      <c r="C44" s="229">
        <v>53</v>
      </c>
      <c r="D44" s="268">
        <v>0</v>
      </c>
      <c r="E44" s="239">
        <v>44968</v>
      </c>
      <c r="F44" s="166">
        <f t="shared" si="0"/>
        <v>44967</v>
      </c>
      <c r="G44" s="182">
        <v>0</v>
      </c>
      <c r="H44" s="177">
        <f t="shared" si="2"/>
        <v>0</v>
      </c>
      <c r="I44" s="266">
        <f t="shared" si="1"/>
        <v>0</v>
      </c>
      <c r="J44" s="175" t="s">
        <v>82</v>
      </c>
      <c r="K44" s="242"/>
      <c r="L44" s="248">
        <f>D44*28.5</f>
        <v>0</v>
      </c>
      <c r="M44" s="183"/>
      <c r="N44" s="3"/>
      <c r="O44" s="46"/>
      <c r="P44" s="186"/>
      <c r="Q44" s="186"/>
      <c r="R44" s="204"/>
    </row>
    <row r="45" spans="1:18" ht="15.75" x14ac:dyDescent="0.25">
      <c r="A45" s="217" t="s">
        <v>248</v>
      </c>
      <c r="B45" s="225">
        <v>0</v>
      </c>
      <c r="C45" s="229">
        <v>40</v>
      </c>
      <c r="D45" s="268">
        <v>0</v>
      </c>
      <c r="E45" s="239">
        <v>44969</v>
      </c>
      <c r="F45" s="166">
        <f t="shared" si="0"/>
        <v>44968</v>
      </c>
      <c r="G45" s="182">
        <v>0</v>
      </c>
      <c r="H45" s="177">
        <f t="shared" si="2"/>
        <v>0</v>
      </c>
      <c r="I45" s="266">
        <f t="shared" si="1"/>
        <v>0</v>
      </c>
      <c r="J45" s="175"/>
      <c r="K45" s="242"/>
      <c r="L45" s="248"/>
      <c r="M45" s="183">
        <f>D45*28</f>
        <v>0</v>
      </c>
      <c r="N45" s="3"/>
      <c r="O45" s="46"/>
      <c r="P45" s="186"/>
      <c r="Q45" s="186"/>
      <c r="R45" s="204"/>
    </row>
    <row r="46" spans="1:18" ht="16.5" customHeight="1" x14ac:dyDescent="0.25">
      <c r="A46" s="217" t="s">
        <v>52</v>
      </c>
      <c r="B46" s="225">
        <v>0</v>
      </c>
      <c r="C46" s="232">
        <v>13</v>
      </c>
      <c r="D46" s="268">
        <v>0</v>
      </c>
      <c r="E46" s="239">
        <v>44970</v>
      </c>
      <c r="F46" s="166">
        <f t="shared" si="0"/>
        <v>44969</v>
      </c>
      <c r="G46" s="182">
        <v>0</v>
      </c>
      <c r="H46" s="177">
        <f t="shared" si="2"/>
        <v>0</v>
      </c>
      <c r="I46" s="266">
        <f t="shared" si="1"/>
        <v>0</v>
      </c>
      <c r="J46" s="175"/>
      <c r="K46" s="242"/>
      <c r="L46" s="248"/>
      <c r="M46" s="183"/>
      <c r="N46" s="3"/>
      <c r="O46" s="46"/>
      <c r="P46" s="186"/>
      <c r="Q46" s="186"/>
      <c r="R46" s="204"/>
    </row>
    <row r="47" spans="1:18" ht="15.75" x14ac:dyDescent="0.25">
      <c r="A47" s="217" t="s">
        <v>215</v>
      </c>
      <c r="B47" s="225">
        <v>0</v>
      </c>
      <c r="C47" s="228">
        <v>1004</v>
      </c>
      <c r="D47" s="268">
        <v>0</v>
      </c>
      <c r="E47" s="239">
        <v>44971</v>
      </c>
      <c r="F47" s="166">
        <f t="shared" si="0"/>
        <v>44970</v>
      </c>
      <c r="G47" s="182">
        <v>0</v>
      </c>
      <c r="H47" s="177">
        <f t="shared" si="2"/>
        <v>0</v>
      </c>
      <c r="I47" s="266">
        <f t="shared" si="1"/>
        <v>0</v>
      </c>
      <c r="J47" s="175" t="s">
        <v>82</v>
      </c>
      <c r="K47" s="243"/>
      <c r="L47" s="248"/>
      <c r="M47" s="183"/>
      <c r="N47" s="3"/>
      <c r="O47" s="46"/>
      <c r="P47" s="186"/>
      <c r="Q47" s="186"/>
      <c r="R47" s="204"/>
    </row>
    <row r="48" spans="1:18" ht="15.75" x14ac:dyDescent="0.25">
      <c r="A48" s="217" t="s">
        <v>218</v>
      </c>
      <c r="B48" s="225">
        <v>0</v>
      </c>
      <c r="C48" s="229">
        <v>11</v>
      </c>
      <c r="D48" s="268">
        <v>0</v>
      </c>
      <c r="E48" s="239">
        <v>44972</v>
      </c>
      <c r="F48" s="166">
        <f t="shared" si="0"/>
        <v>44971</v>
      </c>
      <c r="G48" s="182">
        <v>0</v>
      </c>
      <c r="H48" s="177">
        <f t="shared" si="2"/>
        <v>0</v>
      </c>
      <c r="I48" s="266">
        <f t="shared" si="1"/>
        <v>0</v>
      </c>
      <c r="J48" s="175"/>
      <c r="K48" s="243"/>
      <c r="L48" s="248"/>
      <c r="M48" s="183"/>
      <c r="N48" s="189"/>
      <c r="O48" s="187"/>
      <c r="P48" s="195"/>
      <c r="Q48" s="195"/>
      <c r="R48" s="206"/>
    </row>
    <row r="49" spans="1:18" ht="15.75" x14ac:dyDescent="0.25">
      <c r="A49" s="217" t="s">
        <v>61</v>
      </c>
      <c r="B49" s="225">
        <v>0</v>
      </c>
      <c r="C49" s="229">
        <v>1011</v>
      </c>
      <c r="D49" s="268">
        <v>0</v>
      </c>
      <c r="E49" s="239">
        <v>44973</v>
      </c>
      <c r="F49" s="166">
        <f t="shared" si="0"/>
        <v>44972</v>
      </c>
      <c r="G49" s="182">
        <v>0</v>
      </c>
      <c r="H49" s="177">
        <f t="shared" si="2"/>
        <v>0</v>
      </c>
      <c r="I49" s="266">
        <f t="shared" si="1"/>
        <v>0</v>
      </c>
      <c r="J49" s="175"/>
      <c r="K49" s="242"/>
      <c r="L49" s="248"/>
      <c r="M49" s="183"/>
      <c r="N49" s="3"/>
      <c r="O49" s="46"/>
      <c r="P49" s="186"/>
      <c r="Q49" s="186"/>
      <c r="R49" s="204"/>
    </row>
    <row r="50" spans="1:18" ht="15.75" x14ac:dyDescent="0.25">
      <c r="A50" s="217" t="s">
        <v>287</v>
      </c>
      <c r="B50" s="225">
        <v>0</v>
      </c>
      <c r="C50" s="229">
        <v>1029</v>
      </c>
      <c r="D50" s="268">
        <v>0</v>
      </c>
      <c r="E50" s="239">
        <v>44975</v>
      </c>
      <c r="F50" s="166">
        <f t="shared" si="0"/>
        <v>44974</v>
      </c>
      <c r="G50" s="182">
        <v>0</v>
      </c>
      <c r="H50" s="177">
        <f t="shared" si="2"/>
        <v>0</v>
      </c>
      <c r="I50" s="266">
        <f t="shared" si="1"/>
        <v>0</v>
      </c>
      <c r="J50" s="175"/>
      <c r="K50" s="245"/>
      <c r="L50" s="254"/>
      <c r="M50" s="196"/>
      <c r="N50" s="201"/>
      <c r="O50" s="200"/>
      <c r="P50" s="202"/>
      <c r="Q50" s="202"/>
      <c r="R50" s="211"/>
    </row>
    <row r="51" spans="1:18" ht="15.75" x14ac:dyDescent="0.25">
      <c r="A51" s="217" t="s">
        <v>56</v>
      </c>
      <c r="B51" s="225">
        <v>0</v>
      </c>
      <c r="C51" s="229">
        <v>1013</v>
      </c>
      <c r="D51" s="268">
        <v>0</v>
      </c>
      <c r="E51" s="239">
        <v>44976</v>
      </c>
      <c r="F51" s="166">
        <f t="shared" si="0"/>
        <v>44975</v>
      </c>
      <c r="G51" s="182">
        <v>0</v>
      </c>
      <c r="H51" s="177">
        <f t="shared" si="2"/>
        <v>0</v>
      </c>
      <c r="I51" s="266">
        <f t="shared" si="1"/>
        <v>0</v>
      </c>
      <c r="J51" s="175"/>
      <c r="K51" s="242"/>
      <c r="L51" s="254"/>
      <c r="M51" s="183"/>
      <c r="N51" s="3"/>
      <c r="O51" s="46"/>
      <c r="P51" s="186"/>
      <c r="Q51" s="186"/>
      <c r="R51" s="204"/>
    </row>
    <row r="52" spans="1:18" ht="15.75" x14ac:dyDescent="0.25">
      <c r="A52" s="217" t="s">
        <v>253</v>
      </c>
      <c r="B52" s="225">
        <v>0</v>
      </c>
      <c r="C52" s="229">
        <v>1041</v>
      </c>
      <c r="D52" s="268">
        <v>0</v>
      </c>
      <c r="E52" s="239">
        <v>44978</v>
      </c>
      <c r="F52" s="166">
        <f t="shared" si="0"/>
        <v>44977</v>
      </c>
      <c r="G52" s="182">
        <v>0</v>
      </c>
      <c r="H52" s="177">
        <f t="shared" si="2"/>
        <v>0</v>
      </c>
      <c r="I52" s="266">
        <f t="shared" si="1"/>
        <v>0</v>
      </c>
      <c r="J52" s="175"/>
      <c r="K52" s="242"/>
      <c r="L52" s="254"/>
      <c r="M52" s="183"/>
      <c r="N52" s="3"/>
      <c r="O52" s="46"/>
      <c r="P52" s="186"/>
      <c r="Q52" s="186"/>
      <c r="R52" s="204"/>
    </row>
    <row r="53" spans="1:18" ht="16.5" customHeight="1" x14ac:dyDescent="0.25">
      <c r="A53" s="218" t="s">
        <v>48</v>
      </c>
      <c r="B53" s="225">
        <v>0</v>
      </c>
      <c r="C53" s="229">
        <v>87</v>
      </c>
      <c r="D53" s="268">
        <v>0</v>
      </c>
      <c r="E53" s="239">
        <v>44979</v>
      </c>
      <c r="F53" s="166">
        <f t="shared" si="0"/>
        <v>44978</v>
      </c>
      <c r="G53" s="182">
        <v>0</v>
      </c>
      <c r="H53" s="177">
        <f t="shared" si="2"/>
        <v>0</v>
      </c>
      <c r="I53" s="266">
        <f t="shared" si="1"/>
        <v>0</v>
      </c>
      <c r="J53" s="175"/>
      <c r="K53" s="242"/>
      <c r="L53" s="248"/>
      <c r="M53" s="183"/>
      <c r="N53" s="189"/>
      <c r="O53" s="187"/>
      <c r="P53" s="195"/>
      <c r="Q53" s="186">
        <f>D53*28</f>
        <v>0</v>
      </c>
      <c r="R53" s="204"/>
    </row>
    <row r="54" spans="1:18" ht="15.75" x14ac:dyDescent="0.25">
      <c r="A54" s="217" t="s">
        <v>34</v>
      </c>
      <c r="B54" s="225">
        <v>0</v>
      </c>
      <c r="C54" s="233">
        <v>45</v>
      </c>
      <c r="D54" s="268">
        <v>0</v>
      </c>
      <c r="E54" s="239">
        <v>44980</v>
      </c>
      <c r="F54" s="166">
        <f t="shared" si="0"/>
        <v>44979</v>
      </c>
      <c r="G54" s="182">
        <v>0</v>
      </c>
      <c r="H54" s="177">
        <f t="shared" si="2"/>
        <v>0</v>
      </c>
      <c r="I54" s="266">
        <f t="shared" si="1"/>
        <v>0</v>
      </c>
      <c r="J54" s="175"/>
      <c r="K54" s="242">
        <f>D54*28</f>
        <v>0</v>
      </c>
      <c r="L54" s="183"/>
      <c r="M54" s="183"/>
      <c r="N54" s="3"/>
      <c r="O54" s="46"/>
      <c r="P54" s="186"/>
      <c r="Q54" s="186"/>
      <c r="R54" s="204"/>
    </row>
    <row r="55" spans="1:18" ht="15.75" x14ac:dyDescent="0.25">
      <c r="A55" s="217" t="s">
        <v>29</v>
      </c>
      <c r="B55" s="225">
        <v>0</v>
      </c>
      <c r="C55" s="229">
        <v>112</v>
      </c>
      <c r="D55" s="268">
        <v>0</v>
      </c>
      <c r="E55" s="239">
        <v>44981</v>
      </c>
      <c r="F55" s="166">
        <f t="shared" si="0"/>
        <v>44980</v>
      </c>
      <c r="G55" s="182">
        <v>0</v>
      </c>
      <c r="H55" s="177">
        <f t="shared" si="2"/>
        <v>0</v>
      </c>
      <c r="I55" s="266">
        <f t="shared" si="1"/>
        <v>0</v>
      </c>
      <c r="J55" s="175"/>
      <c r="K55" s="242"/>
      <c r="L55" s="183"/>
      <c r="M55" s="183"/>
      <c r="N55" s="3"/>
      <c r="O55" s="46">
        <f>D55*30</f>
        <v>0</v>
      </c>
      <c r="P55" s="186"/>
      <c r="Q55" s="186"/>
      <c r="R55" s="204"/>
    </row>
    <row r="56" spans="1:18" ht="15.75" customHeight="1" x14ac:dyDescent="0.25">
      <c r="A56" s="217" t="s">
        <v>27</v>
      </c>
      <c r="B56" s="225">
        <v>0</v>
      </c>
      <c r="C56" s="229">
        <v>1014</v>
      </c>
      <c r="D56" s="268">
        <v>0</v>
      </c>
      <c r="E56" s="239">
        <v>44982</v>
      </c>
      <c r="F56" s="166">
        <f t="shared" si="0"/>
        <v>44981</v>
      </c>
      <c r="G56" s="182">
        <v>0</v>
      </c>
      <c r="H56" s="177">
        <f t="shared" si="2"/>
        <v>0</v>
      </c>
      <c r="I56" s="266">
        <f t="shared" si="1"/>
        <v>0</v>
      </c>
      <c r="J56" s="175"/>
      <c r="K56" s="242"/>
      <c r="L56" s="183"/>
      <c r="M56" s="183"/>
      <c r="N56" s="189"/>
      <c r="O56" s="187"/>
      <c r="P56" s="195"/>
      <c r="Q56" s="186"/>
      <c r="R56" s="204"/>
    </row>
    <row r="57" spans="1:18" ht="15.75" customHeight="1" x14ac:dyDescent="0.25">
      <c r="A57" s="220" t="s">
        <v>38</v>
      </c>
      <c r="B57" s="225">
        <v>0</v>
      </c>
      <c r="C57" s="229">
        <v>1002</v>
      </c>
      <c r="D57" s="268">
        <v>0</v>
      </c>
      <c r="E57" s="239">
        <v>44983</v>
      </c>
      <c r="F57" s="166">
        <f t="shared" si="0"/>
        <v>44982</v>
      </c>
      <c r="G57" s="182">
        <v>0</v>
      </c>
      <c r="H57" s="177">
        <f t="shared" si="2"/>
        <v>0</v>
      </c>
      <c r="I57" s="266">
        <f t="shared" si="1"/>
        <v>0</v>
      </c>
      <c r="J57" s="175"/>
      <c r="K57" s="242"/>
      <c r="L57" s="183"/>
      <c r="M57" s="183"/>
      <c r="N57" s="3"/>
      <c r="O57" s="46"/>
      <c r="P57" s="186"/>
      <c r="Q57" s="186"/>
      <c r="R57" s="204"/>
    </row>
    <row r="58" spans="1:18" ht="15.75" x14ac:dyDescent="0.25">
      <c r="A58" s="220" t="s">
        <v>6</v>
      </c>
      <c r="B58" s="225">
        <v>0</v>
      </c>
      <c r="C58" s="229">
        <v>1017</v>
      </c>
      <c r="D58" s="268">
        <v>0</v>
      </c>
      <c r="E58" s="239">
        <v>44984</v>
      </c>
      <c r="F58" s="166">
        <f t="shared" si="0"/>
        <v>44983</v>
      </c>
      <c r="G58" s="182">
        <v>0</v>
      </c>
      <c r="H58" s="177">
        <f t="shared" si="2"/>
        <v>0</v>
      </c>
      <c r="I58" s="266">
        <f t="shared" si="1"/>
        <v>0</v>
      </c>
      <c r="J58" s="175"/>
      <c r="K58" s="183"/>
      <c r="L58" s="46"/>
      <c r="M58" s="183"/>
      <c r="N58" s="3"/>
      <c r="O58" s="46"/>
      <c r="P58" s="186"/>
      <c r="Q58" s="186"/>
      <c r="R58" s="204"/>
    </row>
    <row r="59" spans="1:18" ht="15.75" customHeight="1" thickBot="1" x14ac:dyDescent="0.3">
      <c r="A59" s="221" t="s">
        <v>40</v>
      </c>
      <c r="B59" s="225">
        <v>0</v>
      </c>
      <c r="C59" s="234" t="s">
        <v>65</v>
      </c>
      <c r="D59" s="268">
        <v>0</v>
      </c>
      <c r="E59" s="239">
        <v>44985</v>
      </c>
      <c r="F59" s="166">
        <f t="shared" si="0"/>
        <v>44984</v>
      </c>
      <c r="G59" s="182">
        <v>0</v>
      </c>
      <c r="H59" s="177">
        <f t="shared" si="2"/>
        <v>0</v>
      </c>
      <c r="I59" s="266">
        <f t="shared" si="1"/>
        <v>0</v>
      </c>
      <c r="J59" s="175"/>
      <c r="K59" s="190"/>
      <c r="L59" s="191"/>
      <c r="M59" s="190"/>
      <c r="N59" s="197"/>
      <c r="O59" s="191"/>
      <c r="P59" s="198"/>
      <c r="Q59" s="198"/>
      <c r="R59" s="209"/>
    </row>
    <row r="60" spans="1:18" ht="15.75" x14ac:dyDescent="0.25">
      <c r="A60" s="222" t="s">
        <v>7</v>
      </c>
      <c r="B60" s="225">
        <v>0</v>
      </c>
      <c r="C60" s="234" t="s">
        <v>65</v>
      </c>
      <c r="D60" s="268">
        <v>0</v>
      </c>
      <c r="E60" s="239">
        <v>44986</v>
      </c>
      <c r="F60" s="166">
        <f t="shared" si="0"/>
        <v>44985</v>
      </c>
      <c r="G60" s="182">
        <v>0</v>
      </c>
      <c r="H60" s="177">
        <f t="shared" si="2"/>
        <v>0</v>
      </c>
      <c r="I60" s="266">
        <f t="shared" si="1"/>
        <v>0</v>
      </c>
      <c r="J60" s="175"/>
      <c r="K60" s="183" t="e">
        <f>-#REF!</f>
        <v>#REF!</v>
      </c>
      <c r="L60" s="46"/>
      <c r="M60" s="188"/>
      <c r="N60" s="201"/>
      <c r="O60" s="187"/>
      <c r="P60" s="195"/>
      <c r="Q60" s="195"/>
      <c r="R60" s="206"/>
    </row>
    <row r="61" spans="1:18" ht="16.5" thickBot="1" x14ac:dyDescent="0.3">
      <c r="A61" s="222" t="s">
        <v>8</v>
      </c>
      <c r="B61" s="225">
        <v>0</v>
      </c>
      <c r="C61" s="234" t="s">
        <v>65</v>
      </c>
      <c r="D61" s="269">
        <v>0</v>
      </c>
      <c r="E61" s="239">
        <v>44987</v>
      </c>
      <c r="F61" s="166">
        <f t="shared" si="0"/>
        <v>44986</v>
      </c>
      <c r="G61" s="182">
        <v>0</v>
      </c>
      <c r="H61" s="177">
        <f t="shared" si="2"/>
        <v>0</v>
      </c>
      <c r="I61" s="266">
        <f t="shared" si="1"/>
        <v>0</v>
      </c>
      <c r="J61" s="175" t="s">
        <v>82</v>
      </c>
      <c r="K61" s="183"/>
      <c r="L61" s="46" t="e">
        <f>-#REF!</f>
        <v>#REF!</v>
      </c>
      <c r="M61" s="183"/>
      <c r="N61" s="3"/>
      <c r="O61" s="46"/>
      <c r="P61" s="186"/>
      <c r="Q61" s="186"/>
      <c r="R61" s="204"/>
    </row>
    <row r="62" spans="1:18" ht="15.75" x14ac:dyDescent="0.25">
      <c r="A62" s="223" t="s">
        <v>9</v>
      </c>
      <c r="B62" s="226">
        <f>SUM(B5:B61)</f>
        <v>0</v>
      </c>
      <c r="C62" s="235" t="s">
        <v>65</v>
      </c>
      <c r="D62" s="214">
        <f>SUM(D5:D61)</f>
        <v>23</v>
      </c>
      <c r="E62" s="240"/>
      <c r="F62" s="167"/>
      <c r="G62" s="178"/>
      <c r="H62" s="179">
        <f>SUM(H5:H59)</f>
        <v>440</v>
      </c>
      <c r="I62" s="179">
        <f>SUM(I5:I59)</f>
        <v>484</v>
      </c>
      <c r="J62" s="264">
        <f>COUNTIF(J5:J59,"ok")</f>
        <v>5</v>
      </c>
      <c r="K62" s="262" t="e">
        <f t="shared" ref="K62:Q62" si="3">SUM(K5:K61)</f>
        <v>#REF!</v>
      </c>
      <c r="L62" s="168" t="e">
        <f t="shared" si="3"/>
        <v>#REF!</v>
      </c>
      <c r="M62" s="168">
        <f t="shared" si="3"/>
        <v>0</v>
      </c>
      <c r="N62" s="168">
        <f t="shared" si="3"/>
        <v>0</v>
      </c>
      <c r="O62" s="168">
        <f t="shared" si="3"/>
        <v>0</v>
      </c>
      <c r="P62" s="168">
        <f t="shared" si="3"/>
        <v>0</v>
      </c>
      <c r="Q62" s="168">
        <f t="shared" si="3"/>
        <v>0</v>
      </c>
      <c r="R62" s="212"/>
    </row>
    <row r="63" spans="1:18" ht="15.75" thickBot="1" x14ac:dyDescent="0.3">
      <c r="A63" s="163" t="s">
        <v>40</v>
      </c>
      <c r="B63" s="237">
        <v>2</v>
      </c>
      <c r="C63" s="235" t="s">
        <v>65</v>
      </c>
      <c r="D63" s="215" t="s">
        <v>65</v>
      </c>
      <c r="E63" s="169">
        <v>4</v>
      </c>
      <c r="F63" s="169"/>
      <c r="G63" s="169"/>
      <c r="H63" s="172">
        <f>COUNTIF(H5:H59,"&gt;0")</f>
        <v>2</v>
      </c>
      <c r="I63" s="173">
        <f>I62-H62</f>
        <v>44</v>
      </c>
      <c r="J63" s="265">
        <f>SUM(K63:Q63)</f>
        <v>1</v>
      </c>
      <c r="K63" s="263">
        <f t="shared" ref="K63:Q63" si="4">COUNTIF(K5:K59,"&gt;0")</f>
        <v>1</v>
      </c>
      <c r="L63" s="170">
        <f t="shared" si="4"/>
        <v>0</v>
      </c>
      <c r="M63" s="170">
        <f t="shared" si="4"/>
        <v>0</v>
      </c>
      <c r="N63" s="171">
        <f t="shared" si="4"/>
        <v>0</v>
      </c>
      <c r="O63" s="171">
        <f t="shared" si="4"/>
        <v>0</v>
      </c>
      <c r="P63" s="171">
        <f t="shared" si="4"/>
        <v>0</v>
      </c>
      <c r="Q63" s="171">
        <f t="shared" si="4"/>
        <v>0</v>
      </c>
      <c r="R63" s="213"/>
    </row>
    <row r="64" spans="1:18" ht="23.25" x14ac:dyDescent="0.35">
      <c r="C64" s="216">
        <v>1</v>
      </c>
      <c r="D64" s="270" t="s">
        <v>65</v>
      </c>
      <c r="E64" s="270"/>
      <c r="F64" s="270"/>
      <c r="G64" s="270"/>
      <c r="H64" s="270"/>
      <c r="I64" s="270"/>
      <c r="J64" s="270"/>
      <c r="K64" s="270"/>
      <c r="L64" s="270"/>
      <c r="M64" s="270"/>
      <c r="N64" s="270"/>
      <c r="O64" s="270"/>
      <c r="P64" s="270"/>
      <c r="Q64" s="270"/>
      <c r="R64" s="271"/>
    </row>
  </sheetData>
  <sortState xmlns:xlrd2="http://schemas.microsoft.com/office/spreadsheetml/2017/richdata2" ref="A5:R56">
    <sortCondition ref="A5:A56"/>
  </sortState>
  <mergeCells count="1">
    <mergeCell ref="D64:R64"/>
  </mergeCells>
  <phoneticPr fontId="52" type="noConversion"/>
  <conditionalFormatting sqref="J52:J61 H5:H61 J5:R59">
    <cfRule type="expression" dxfId="65" priority="1095">
      <formula>H5&gt;0</formula>
    </cfRule>
  </conditionalFormatting>
  <conditionalFormatting sqref="J63">
    <cfRule type="cellIs" dxfId="64" priority="584" operator="notEqual">
      <formula>#REF!</formula>
    </cfRule>
  </conditionalFormatting>
  <conditionalFormatting sqref="J62">
    <cfRule type="cellIs" dxfId="63" priority="583" operator="notEqual">
      <formula>#REF!</formula>
    </cfRule>
  </conditionalFormatting>
  <conditionalFormatting sqref="J5:J61">
    <cfRule type="cellIs" dxfId="62" priority="51" operator="notEqual">
      <formula>"ok"</formula>
    </cfRule>
    <cfRule type="containsText" dxfId="61" priority="52" operator="containsText" text="ok">
      <formula>NOT(ISERROR(SEARCH("ok",J5)))</formula>
    </cfRule>
    <cfRule type="containsText" dxfId="60" priority="55" operator="containsText" text="ok">
      <formula>NOT(ISERROR(SEARCH("ok",J5)))</formula>
    </cfRule>
  </conditionalFormatting>
  <conditionalFormatting sqref="J5:J61">
    <cfRule type="cellIs" dxfId="59" priority="54" operator="notEqual">
      <formula>"ok"</formula>
    </cfRule>
  </conditionalFormatting>
  <conditionalFormatting sqref="J5">
    <cfRule type="containsText" dxfId="58" priority="53" operator="containsText" text="ok">
      <formula>NOT(ISERROR(SEARCH("ok",J5)))</formula>
    </cfRule>
  </conditionalFormatting>
  <conditionalFormatting sqref="D5:D61 I5:I61">
    <cfRule type="cellIs" dxfId="57" priority="2" operator="notEqual">
      <formula>0</formula>
    </cfRule>
  </conditionalFormatting>
  <pageMargins left="0.511811024" right="0.511811024" top="0.78740157499999996" bottom="0.78740157499999996" header="0.31496062000000002" footer="0.31496062000000002"/>
  <pageSetup paperSize="9" scale="4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682" r:id="rId4" name="Button 514">
              <controlPr defaultSize="0" print="0" autoFill="0" autoPict="0" macro="[0]!SaveWeek">
                <anchor moveWithCells="1" sizeWithCells="1">
                  <from>
                    <xdr:col>2</xdr:col>
                    <xdr:colOff>66675</xdr:colOff>
                    <xdr:row>0</xdr:row>
                    <xdr:rowOff>161925</xdr:rowOff>
                  </from>
                  <to>
                    <xdr:col>4</xdr:col>
                    <xdr:colOff>552450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67" r:id="rId5" name="Button 599">
              <controlPr defaultSize="0" print="0" autoFill="0" autoPict="0" macro="[0]!Button599_Click">
                <anchor moveWithCells="1" sizeWithCells="1">
                  <from>
                    <xdr:col>4</xdr:col>
                    <xdr:colOff>819150</xdr:colOff>
                    <xdr:row>0</xdr:row>
                    <xdr:rowOff>161925</xdr:rowOff>
                  </from>
                  <to>
                    <xdr:col>6</xdr:col>
                    <xdr:colOff>571500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68" r:id="rId6" name="Button 600">
              <controlPr defaultSize="0" print="0" autoFill="0" autoPict="0" macro="[0]!Button600_Click">
                <anchor moveWithCells="1" sizeWithCells="1">
                  <from>
                    <xdr:col>6</xdr:col>
                    <xdr:colOff>838200</xdr:colOff>
                    <xdr:row>0</xdr:row>
                    <xdr:rowOff>171450</xdr:rowOff>
                  </from>
                  <to>
                    <xdr:col>8</xdr:col>
                    <xdr:colOff>600075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D03CC3-D613-456F-A139-92AD323D1E12}">
  <sheetPr codeName="Sheet97">
    <pageSetUpPr fitToPage="1"/>
  </sheetPr>
  <dimension ref="A1:J59"/>
  <sheetViews>
    <sheetView showGridLines="0" workbookViewId="0">
      <selection activeCell="E28" sqref="E28"/>
    </sheetView>
  </sheetViews>
  <sheetFormatPr defaultColWidth="14.42578125" defaultRowHeight="15.75" customHeight="1" x14ac:dyDescent="0.2"/>
  <cols>
    <col min="1" max="1" width="5.42578125" style="55" customWidth="1"/>
    <col min="2" max="3" width="14.42578125" style="55"/>
    <col min="4" max="4" width="17.28515625" style="55" customWidth="1"/>
    <col min="5" max="5" width="18.140625" style="55" bestFit="1" customWidth="1"/>
    <col min="6" max="6" width="17.42578125" style="55" customWidth="1"/>
    <col min="7" max="7" width="12.42578125" style="55" customWidth="1"/>
    <col min="8" max="8" width="17" style="55" bestFit="1" customWidth="1"/>
    <col min="9" max="9" width="3.85546875" style="55" customWidth="1"/>
    <col min="10" max="16384" width="14.42578125" style="55"/>
  </cols>
  <sheetData>
    <row r="1" spans="1:10" ht="39" customHeight="1" x14ac:dyDescent="0.2">
      <c r="A1" s="54"/>
      <c r="B1" s="54"/>
      <c r="C1" s="54"/>
      <c r="D1" s="54"/>
      <c r="E1" s="54"/>
      <c r="F1" s="54"/>
      <c r="G1" s="54"/>
      <c r="H1" s="54"/>
      <c r="I1" s="54"/>
    </row>
    <row r="2" spans="1:10" x14ac:dyDescent="0.25">
      <c r="A2" s="54"/>
      <c r="B2" s="56"/>
      <c r="C2" s="56"/>
      <c r="D2" s="56"/>
      <c r="E2" s="57"/>
      <c r="F2" s="57"/>
      <c r="G2" s="57"/>
      <c r="H2" s="57"/>
      <c r="I2" s="56"/>
    </row>
    <row r="3" spans="1:10" ht="12.75" x14ac:dyDescent="0.2">
      <c r="A3" s="54"/>
      <c r="B3" s="56"/>
      <c r="C3" s="56"/>
      <c r="D3" s="56"/>
      <c r="E3" s="273"/>
      <c r="F3" s="274"/>
      <c r="G3" s="274"/>
      <c r="H3" s="274"/>
      <c r="I3" s="56"/>
    </row>
    <row r="4" spans="1:10" ht="12.75" x14ac:dyDescent="0.2">
      <c r="A4" s="54"/>
      <c r="B4" s="275" t="s">
        <v>83</v>
      </c>
      <c r="C4" s="276"/>
      <c r="D4" s="276"/>
      <c r="E4" s="277"/>
      <c r="F4" s="274"/>
      <c r="G4" s="274"/>
      <c r="H4" s="274"/>
      <c r="I4" s="56"/>
    </row>
    <row r="5" spans="1:10" ht="12.75" x14ac:dyDescent="0.2">
      <c r="A5" s="54"/>
      <c r="B5" s="276"/>
      <c r="C5" s="276"/>
      <c r="D5" s="276"/>
      <c r="E5" s="277"/>
      <c r="F5" s="274"/>
      <c r="G5" s="274"/>
      <c r="H5" s="274"/>
      <c r="I5" s="56"/>
    </row>
    <row r="6" spans="1:10" ht="12.75" x14ac:dyDescent="0.2">
      <c r="A6" s="54"/>
      <c r="B6" s="276"/>
      <c r="C6" s="276"/>
      <c r="D6" s="276"/>
      <c r="E6" s="277"/>
      <c r="F6" s="274"/>
      <c r="G6" s="274"/>
      <c r="H6" s="274"/>
      <c r="I6" s="56"/>
    </row>
    <row r="7" spans="1:10" ht="36.75" customHeight="1" x14ac:dyDescent="0.2">
      <c r="A7" s="54"/>
      <c r="B7" s="54"/>
      <c r="C7" s="54"/>
      <c r="D7" s="54"/>
      <c r="E7" s="54"/>
      <c r="F7" s="54"/>
      <c r="G7" s="54"/>
      <c r="H7" s="54"/>
      <c r="I7" s="54"/>
    </row>
    <row r="8" spans="1:10" ht="21.75" customHeight="1" x14ac:dyDescent="0.2">
      <c r="A8" s="58"/>
      <c r="B8" s="58"/>
      <c r="C8" s="58"/>
      <c r="D8" s="58"/>
      <c r="E8" s="58"/>
      <c r="F8" s="58"/>
      <c r="G8" s="58"/>
      <c r="H8" s="58"/>
      <c r="I8" s="58"/>
      <c r="J8" s="59"/>
    </row>
    <row r="9" spans="1:10" ht="15.75" customHeight="1" x14ac:dyDescent="0.2">
      <c r="B9" s="278"/>
      <c r="C9" s="278"/>
      <c r="D9" s="278"/>
      <c r="E9" s="278"/>
      <c r="F9" s="278"/>
      <c r="G9" s="278"/>
      <c r="H9" s="278"/>
    </row>
    <row r="10" spans="1:10" ht="15" customHeight="1" x14ac:dyDescent="0.2">
      <c r="A10" s="98"/>
      <c r="B10" s="60" t="s">
        <v>84</v>
      </c>
      <c r="G10" s="60"/>
      <c r="H10" s="61" t="s">
        <v>85</v>
      </c>
      <c r="J10" s="165" t="s">
        <v>279</v>
      </c>
    </row>
    <row r="11" spans="1:10" ht="14.25" x14ac:dyDescent="0.2">
      <c r="A11" s="98"/>
      <c r="B11" s="62" t="s">
        <v>86</v>
      </c>
      <c r="G11" s="62"/>
      <c r="H11" s="63" t="str">
        <f>J10&amp;J11</f>
        <v>GC9</v>
      </c>
      <c r="J11" s="174">
        <v>9</v>
      </c>
    </row>
    <row r="12" spans="1:10" ht="15" x14ac:dyDescent="0.2">
      <c r="A12" s="98"/>
      <c r="B12" s="62" t="s">
        <v>87</v>
      </c>
      <c r="G12" s="60"/>
      <c r="H12" s="61" t="s">
        <v>88</v>
      </c>
      <c r="J12" s="55">
        <v>7</v>
      </c>
    </row>
    <row r="13" spans="1:10" ht="14.25" x14ac:dyDescent="0.2">
      <c r="A13" s="98"/>
      <c r="B13" s="62"/>
      <c r="G13" s="64"/>
      <c r="H13" s="181" t="s">
        <v>285</v>
      </c>
      <c r="J13" s="55">
        <v>1</v>
      </c>
    </row>
    <row r="14" spans="1:10" ht="15" x14ac:dyDescent="0.2">
      <c r="A14" s="98"/>
      <c r="G14" s="60"/>
      <c r="H14" s="61" t="s">
        <v>89</v>
      </c>
    </row>
    <row r="15" spans="1:10" ht="14.25" x14ac:dyDescent="0.2">
      <c r="A15" s="98"/>
      <c r="G15" s="64"/>
      <c r="H15" s="65">
        <f>H13+J12</f>
        <v>45141</v>
      </c>
    </row>
    <row r="16" spans="1:10" ht="14.25" x14ac:dyDescent="0.2">
      <c r="A16" s="98"/>
      <c r="B16" s="62"/>
      <c r="F16" s="65"/>
      <c r="G16" s="65"/>
      <c r="H16" s="65"/>
    </row>
    <row r="17" spans="1:8" ht="14.25" x14ac:dyDescent="0.2">
      <c r="A17" s="98"/>
      <c r="F17" s="65"/>
      <c r="G17" s="65"/>
      <c r="H17" s="66"/>
    </row>
    <row r="18" spans="1:8" ht="22.5" customHeight="1" x14ac:dyDescent="0.2">
      <c r="A18" s="98"/>
      <c r="B18" s="279" t="s">
        <v>90</v>
      </c>
      <c r="C18" s="280"/>
      <c r="D18" s="280"/>
      <c r="E18" s="280"/>
      <c r="F18" s="65"/>
      <c r="G18" s="65"/>
      <c r="H18" s="66"/>
    </row>
    <row r="19" spans="1:8" ht="15" x14ac:dyDescent="0.2">
      <c r="A19" s="98"/>
      <c r="B19" s="279" t="s">
        <v>278</v>
      </c>
      <c r="C19" s="280"/>
      <c r="D19" s="280"/>
      <c r="E19" s="280"/>
      <c r="F19" s="65"/>
      <c r="G19" s="65"/>
      <c r="H19" s="66"/>
    </row>
    <row r="20" spans="1:8" ht="14.25" x14ac:dyDescent="0.2">
      <c r="A20" s="98"/>
      <c r="B20" s="281" t="s">
        <v>274</v>
      </c>
      <c r="C20" s="280"/>
      <c r="D20" s="280"/>
      <c r="E20" s="280"/>
      <c r="F20" s="65"/>
      <c r="G20" s="65"/>
      <c r="H20" s="66"/>
    </row>
    <row r="21" spans="1:8" ht="14.25" x14ac:dyDescent="0.2">
      <c r="A21" s="98"/>
      <c r="B21" s="62"/>
      <c r="C21" s="67"/>
      <c r="D21" s="67"/>
      <c r="E21" s="67"/>
      <c r="F21" s="65"/>
      <c r="G21" s="65"/>
      <c r="H21" s="66"/>
    </row>
    <row r="22" spans="1:8" ht="14.25" x14ac:dyDescent="0.2">
      <c r="A22" s="98"/>
      <c r="B22" s="62"/>
      <c r="C22" s="67"/>
      <c r="D22" s="67"/>
      <c r="E22" s="67"/>
      <c r="F22" s="65"/>
      <c r="G22" s="65"/>
      <c r="H22" s="66"/>
    </row>
    <row r="23" spans="1:8" ht="22.5" customHeight="1" x14ac:dyDescent="0.2">
      <c r="A23" s="98"/>
      <c r="B23" s="282"/>
      <c r="C23" s="280"/>
      <c r="D23" s="280"/>
      <c r="E23" s="280"/>
      <c r="F23" s="67"/>
      <c r="G23" s="67"/>
      <c r="H23" s="67"/>
    </row>
    <row r="24" spans="1:8" ht="27.75" customHeight="1" x14ac:dyDescent="0.2">
      <c r="B24" s="280"/>
      <c r="C24" s="280"/>
      <c r="D24" s="280"/>
      <c r="E24" s="280"/>
      <c r="F24" s="280"/>
      <c r="G24" s="280"/>
      <c r="H24" s="280"/>
    </row>
    <row r="25" spans="1:8" ht="27.75" customHeight="1" x14ac:dyDescent="0.2">
      <c r="B25" s="67"/>
      <c r="C25" s="67"/>
      <c r="D25" s="67"/>
      <c r="E25" s="67"/>
      <c r="F25" s="67"/>
      <c r="G25" s="67"/>
      <c r="H25" s="67"/>
    </row>
    <row r="26" spans="1:8" ht="15.75" customHeight="1" x14ac:dyDescent="0.2">
      <c r="B26" s="67"/>
      <c r="C26" s="67"/>
      <c r="D26" s="67"/>
      <c r="E26" s="67"/>
      <c r="F26" s="67"/>
      <c r="G26" s="67"/>
      <c r="H26" s="67"/>
    </row>
    <row r="27" spans="1:8" ht="15" x14ac:dyDescent="0.25">
      <c r="B27" s="68" t="s">
        <v>88</v>
      </c>
      <c r="C27" s="272" t="s">
        <v>92</v>
      </c>
      <c r="D27" s="272"/>
      <c r="E27" s="70" t="s">
        <v>93</v>
      </c>
      <c r="F27" s="70" t="s">
        <v>262</v>
      </c>
      <c r="G27" s="70" t="s">
        <v>18</v>
      </c>
      <c r="H27" s="70" t="s">
        <v>121</v>
      </c>
    </row>
    <row r="28" spans="1:8" ht="54.75" customHeight="1" x14ac:dyDescent="0.2">
      <c r="B28" s="71">
        <f>H13-J13</f>
        <v>45133</v>
      </c>
      <c r="C28" s="285" t="s">
        <v>137</v>
      </c>
      <c r="D28" s="285"/>
      <c r="E28" s="182">
        <v>45</v>
      </c>
      <c r="F28" s="180">
        <v>5</v>
      </c>
      <c r="G28" s="119">
        <v>0.1</v>
      </c>
      <c r="H28" s="117">
        <f>E28*F28</f>
        <v>225</v>
      </c>
    </row>
    <row r="29" spans="1:8" ht="15.75" customHeight="1" x14ac:dyDescent="0.2">
      <c r="B29" s="76"/>
      <c r="C29" s="286"/>
      <c r="D29" s="287"/>
      <c r="E29" s="109"/>
      <c r="F29" s="110"/>
      <c r="G29" s="110"/>
      <c r="H29" s="111"/>
    </row>
    <row r="30" spans="1:8" ht="30" customHeight="1" x14ac:dyDescent="0.2">
      <c r="B30" s="72"/>
      <c r="C30" s="288"/>
      <c r="D30" s="289"/>
      <c r="E30" s="63"/>
      <c r="F30" s="79" t="s">
        <v>97</v>
      </c>
      <c r="G30" s="79"/>
      <c r="H30" s="80">
        <f>SUM(H28:H29)</f>
        <v>225</v>
      </c>
    </row>
    <row r="31" spans="1:8" ht="30" customHeight="1" x14ac:dyDescent="0.2">
      <c r="B31" s="72"/>
      <c r="C31" s="72"/>
      <c r="D31" s="67"/>
      <c r="E31" s="63"/>
      <c r="F31" s="79" t="s">
        <v>125</v>
      </c>
      <c r="G31" s="79"/>
      <c r="H31" s="80">
        <f>G28*H28</f>
        <v>22.5</v>
      </c>
    </row>
    <row r="32" spans="1:8" ht="30" customHeight="1" x14ac:dyDescent="0.2">
      <c r="B32" s="72"/>
      <c r="C32" s="290"/>
      <c r="D32" s="280"/>
      <c r="E32" s="63"/>
      <c r="F32" s="81" t="s">
        <v>99</v>
      </c>
      <c r="G32" s="81"/>
      <c r="H32" s="82">
        <v>0</v>
      </c>
    </row>
    <row r="33" spans="1:9" ht="30" customHeight="1" x14ac:dyDescent="0.25">
      <c r="B33" s="83"/>
      <c r="C33" s="291"/>
      <c r="D33" s="278"/>
      <c r="E33" s="84"/>
      <c r="F33" s="85" t="s">
        <v>100</v>
      </c>
      <c r="G33" s="85"/>
      <c r="H33" s="86">
        <f>SUM(H30:H32)</f>
        <v>247.5</v>
      </c>
    </row>
    <row r="34" spans="1:9" ht="30" customHeight="1" x14ac:dyDescent="0.25">
      <c r="B34" s="83"/>
      <c r="C34" s="83"/>
      <c r="E34" s="84"/>
      <c r="F34" s="85"/>
      <c r="G34" s="85"/>
      <c r="H34" s="87"/>
    </row>
    <row r="35" spans="1:9" ht="30" customHeight="1" x14ac:dyDescent="0.25">
      <c r="B35" s="83"/>
      <c r="C35" s="83"/>
      <c r="E35" s="84"/>
      <c r="F35" s="85"/>
      <c r="G35" s="85"/>
      <c r="H35" s="86"/>
    </row>
    <row r="36" spans="1:9" ht="30" customHeight="1" x14ac:dyDescent="0.25">
      <c r="B36" s="83"/>
      <c r="C36" s="83"/>
      <c r="E36" s="84"/>
      <c r="F36" s="85"/>
      <c r="G36" s="85"/>
      <c r="H36" s="86"/>
    </row>
    <row r="37" spans="1:9" ht="30" customHeight="1" x14ac:dyDescent="0.25">
      <c r="B37" s="83"/>
      <c r="C37" s="83"/>
      <c r="E37" s="84"/>
      <c r="F37" s="85"/>
      <c r="G37" s="85"/>
      <c r="H37" s="86"/>
    </row>
    <row r="38" spans="1:9" ht="30" customHeight="1" x14ac:dyDescent="0.25">
      <c r="B38" s="83"/>
      <c r="C38" s="83"/>
      <c r="E38" s="84"/>
      <c r="F38" s="85"/>
      <c r="G38" s="85"/>
      <c r="H38" s="86"/>
    </row>
    <row r="39" spans="1:9" ht="30" customHeight="1" x14ac:dyDescent="0.25">
      <c r="B39" s="83"/>
      <c r="C39" s="83"/>
      <c r="E39" s="84"/>
      <c r="F39" s="85"/>
      <c r="G39" s="85"/>
      <c r="H39" s="86"/>
    </row>
    <row r="40" spans="1:9" ht="30" customHeight="1" x14ac:dyDescent="0.25">
      <c r="B40" s="83"/>
      <c r="C40" s="83"/>
      <c r="E40" s="84"/>
      <c r="F40" s="85"/>
      <c r="G40" s="85"/>
      <c r="H40" s="86"/>
    </row>
    <row r="41" spans="1:9" ht="30" customHeight="1" x14ac:dyDescent="0.2">
      <c r="B41" s="83"/>
      <c r="C41" s="88"/>
      <c r="D41" s="292" t="s">
        <v>101</v>
      </c>
      <c r="E41" s="292"/>
      <c r="F41" s="292"/>
      <c r="G41" s="89"/>
      <c r="H41" s="90"/>
    </row>
    <row r="42" spans="1:9" ht="12.75" customHeight="1" x14ac:dyDescent="0.2"/>
    <row r="43" spans="1:9" ht="12.75" x14ac:dyDescent="0.2">
      <c r="A43" s="92"/>
      <c r="B43" s="91" t="s">
        <v>102</v>
      </c>
      <c r="C43" s="92"/>
      <c r="D43" s="92"/>
      <c r="E43" s="120"/>
      <c r="F43" s="121"/>
      <c r="G43" s="121"/>
      <c r="H43" s="93" t="s">
        <v>103</v>
      </c>
      <c r="I43" s="122"/>
    </row>
    <row r="44" spans="1:9" ht="14.25" customHeight="1" x14ac:dyDescent="0.2">
      <c r="A44" s="92"/>
      <c r="B44" s="94" t="s">
        <v>104</v>
      </c>
      <c r="C44" s="53"/>
      <c r="D44" s="53"/>
      <c r="E44" s="120"/>
      <c r="F44" s="120"/>
      <c r="G44" s="283">
        <f>H33</f>
        <v>247.5</v>
      </c>
      <c r="H44" s="283"/>
      <c r="I44" s="122"/>
    </row>
    <row r="45" spans="1:9" ht="14.25" customHeight="1" x14ac:dyDescent="0.2">
      <c r="A45" s="53"/>
      <c r="B45" s="94" t="s">
        <v>106</v>
      </c>
      <c r="C45" s="53"/>
      <c r="D45" s="53"/>
      <c r="E45" s="120"/>
      <c r="F45" s="120"/>
      <c r="G45" s="283"/>
      <c r="H45" s="283"/>
      <c r="I45" s="122"/>
    </row>
    <row r="46" spans="1:9" ht="14.25" x14ac:dyDescent="0.2">
      <c r="A46" s="53"/>
      <c r="B46" s="94" t="s">
        <v>107</v>
      </c>
      <c r="C46" s="53"/>
      <c r="D46" s="53"/>
      <c r="E46" s="95"/>
      <c r="F46" s="95"/>
      <c r="G46" s="95"/>
      <c r="H46" s="95"/>
      <c r="I46" s="95"/>
    </row>
    <row r="47" spans="1:9" ht="14.25" x14ac:dyDescent="0.2">
      <c r="A47" s="53"/>
      <c r="B47" s="94" t="s">
        <v>114</v>
      </c>
      <c r="C47" s="96"/>
      <c r="D47" s="96"/>
      <c r="E47" s="97"/>
      <c r="F47" s="97"/>
      <c r="G47" s="97"/>
      <c r="H47" s="97"/>
      <c r="I47" s="95"/>
    </row>
    <row r="48" spans="1:9" ht="53.25" customHeight="1" x14ac:dyDescent="0.2">
      <c r="B48" s="284"/>
      <c r="C48" s="278"/>
      <c r="D48" s="278"/>
      <c r="E48" s="278"/>
      <c r="F48" s="278"/>
      <c r="G48" s="278"/>
      <c r="H48" s="278"/>
    </row>
    <row r="52" spans="6:7" ht="15.75" customHeight="1" x14ac:dyDescent="0.2">
      <c r="F52" s="62"/>
      <c r="G52" s="62"/>
    </row>
    <row r="53" spans="6:7" ht="15.75" customHeight="1" x14ac:dyDescent="0.2">
      <c r="F53" s="62"/>
      <c r="G53" s="62"/>
    </row>
    <row r="54" spans="6:7" ht="15.75" customHeight="1" x14ac:dyDescent="0.2">
      <c r="F54" s="62"/>
      <c r="G54" s="62"/>
    </row>
    <row r="57" spans="6:7" ht="15.75" customHeight="1" x14ac:dyDescent="0.2">
      <c r="F57" s="62"/>
      <c r="G57" s="62"/>
    </row>
    <row r="59" spans="6:7" ht="15.75" customHeight="1" x14ac:dyDescent="0.2">
      <c r="F59" s="62"/>
      <c r="G59" s="62"/>
    </row>
  </sheetData>
  <mergeCells count="20">
    <mergeCell ref="G44:H45"/>
    <mergeCell ref="B48:H48"/>
    <mergeCell ref="C28:D28"/>
    <mergeCell ref="C29:D29"/>
    <mergeCell ref="C30:D30"/>
    <mergeCell ref="C32:D32"/>
    <mergeCell ref="C33:D33"/>
    <mergeCell ref="D41:F41"/>
    <mergeCell ref="C27:D27"/>
    <mergeCell ref="E3:H3"/>
    <mergeCell ref="B4:D6"/>
    <mergeCell ref="E4:H4"/>
    <mergeCell ref="E5:H5"/>
    <mergeCell ref="E6:H6"/>
    <mergeCell ref="B9:H9"/>
    <mergeCell ref="B18:E18"/>
    <mergeCell ref="B19:E19"/>
    <mergeCell ref="B20:E20"/>
    <mergeCell ref="B23:E23"/>
    <mergeCell ref="B24:H24"/>
  </mergeCells>
  <conditionalFormatting sqref="B26">
    <cfRule type="notContainsBlanks" dxfId="56" priority="4">
      <formula>LEN(TRIM(B26))&gt;0</formula>
    </cfRule>
  </conditionalFormatting>
  <pageMargins left="0.7" right="0.7" top="0.75" bottom="0.75" header="0.3" footer="0.3"/>
  <pageSetup paperSize="9" scale="64" orientation="portrait" cellComments="atEnd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D89263-848F-442D-A5D4-5BEFAC929E1C}">
  <sheetPr codeName="Sheet98">
    <pageSetUpPr fitToPage="1"/>
  </sheetPr>
  <dimension ref="A1:J59"/>
  <sheetViews>
    <sheetView showGridLines="0" topLeftCell="A19" zoomScale="91" zoomScaleNormal="91" workbookViewId="0">
      <selection activeCell="E28" sqref="E28"/>
    </sheetView>
  </sheetViews>
  <sheetFormatPr defaultColWidth="14.42578125" defaultRowHeight="15.75" customHeight="1" x14ac:dyDescent="0.2"/>
  <cols>
    <col min="1" max="1" width="5.42578125" style="55" customWidth="1"/>
    <col min="2" max="3" width="14.42578125" style="55"/>
    <col min="4" max="4" width="17.28515625" style="55" customWidth="1"/>
    <col min="5" max="5" width="18.140625" style="55" bestFit="1" customWidth="1"/>
    <col min="6" max="6" width="17.42578125" style="55" customWidth="1"/>
    <col min="7" max="7" width="12.42578125" style="55" customWidth="1"/>
    <col min="8" max="8" width="17" style="55" bestFit="1" customWidth="1"/>
    <col min="9" max="9" width="3.85546875" style="55" customWidth="1"/>
    <col min="10" max="16384" width="14.42578125" style="55"/>
  </cols>
  <sheetData>
    <row r="1" spans="1:10" ht="39" customHeight="1" x14ac:dyDescent="0.2">
      <c r="A1" s="54"/>
      <c r="B1" s="54"/>
      <c r="C1" s="54"/>
      <c r="D1" s="54"/>
      <c r="E1" s="54"/>
      <c r="F1" s="54"/>
      <c r="G1" s="54"/>
      <c r="H1" s="54"/>
      <c r="I1" s="54"/>
    </row>
    <row r="2" spans="1:10" x14ac:dyDescent="0.25">
      <c r="A2" s="54"/>
      <c r="B2" s="56"/>
      <c r="C2" s="56"/>
      <c r="D2" s="56"/>
      <c r="E2" s="57"/>
      <c r="F2" s="57"/>
      <c r="G2" s="57"/>
      <c r="H2" s="57"/>
      <c r="I2" s="56"/>
    </row>
    <row r="3" spans="1:10" ht="12.75" x14ac:dyDescent="0.2">
      <c r="A3" s="54"/>
      <c r="B3" s="56"/>
      <c r="C3" s="56"/>
      <c r="D3" s="56"/>
      <c r="E3" s="273"/>
      <c r="F3" s="274"/>
      <c r="G3" s="274"/>
      <c r="H3" s="274"/>
      <c r="I3" s="56"/>
    </row>
    <row r="4" spans="1:10" ht="12.75" x14ac:dyDescent="0.2">
      <c r="A4" s="54"/>
      <c r="B4" s="275" t="s">
        <v>83</v>
      </c>
      <c r="C4" s="276"/>
      <c r="D4" s="276"/>
      <c r="E4" s="277"/>
      <c r="F4" s="274"/>
      <c r="G4" s="274"/>
      <c r="H4" s="274"/>
      <c r="I4" s="56"/>
    </row>
    <row r="5" spans="1:10" ht="12.75" x14ac:dyDescent="0.2">
      <c r="A5" s="54"/>
      <c r="B5" s="276"/>
      <c r="C5" s="276"/>
      <c r="D5" s="276"/>
      <c r="E5" s="277"/>
      <c r="F5" s="274"/>
      <c r="G5" s="274"/>
      <c r="H5" s="274"/>
      <c r="I5" s="56"/>
    </row>
    <row r="6" spans="1:10" ht="12.75" x14ac:dyDescent="0.2">
      <c r="A6" s="54"/>
      <c r="B6" s="276"/>
      <c r="C6" s="276"/>
      <c r="D6" s="276"/>
      <c r="E6" s="277"/>
      <c r="F6" s="274"/>
      <c r="G6" s="274"/>
      <c r="H6" s="274"/>
      <c r="I6" s="56"/>
    </row>
    <row r="7" spans="1:10" ht="36.75" customHeight="1" x14ac:dyDescent="0.2">
      <c r="A7" s="54"/>
      <c r="B7" s="54"/>
      <c r="C7" s="54"/>
      <c r="D7" s="54"/>
      <c r="E7" s="54"/>
      <c r="F7" s="54"/>
      <c r="G7" s="54"/>
      <c r="H7" s="54"/>
      <c r="I7" s="54"/>
    </row>
    <row r="8" spans="1:10" ht="21.75" customHeight="1" x14ac:dyDescent="0.2">
      <c r="A8" s="58"/>
      <c r="B8" s="58"/>
      <c r="C8" s="58"/>
      <c r="D8" s="58"/>
      <c r="E8" s="58"/>
      <c r="F8" s="58"/>
      <c r="G8" s="58"/>
      <c r="H8" s="58"/>
      <c r="I8" s="58"/>
      <c r="J8" s="59"/>
    </row>
    <row r="9" spans="1:10" ht="15.75" customHeight="1" x14ac:dyDescent="0.2">
      <c r="B9" s="278"/>
      <c r="C9" s="278"/>
      <c r="D9" s="278"/>
      <c r="E9" s="278"/>
      <c r="F9" s="278"/>
      <c r="G9" s="278"/>
      <c r="H9" s="278"/>
    </row>
    <row r="10" spans="1:10" ht="15" customHeight="1" x14ac:dyDescent="0.2">
      <c r="A10" s="98"/>
      <c r="B10" s="60" t="s">
        <v>84</v>
      </c>
      <c r="G10" s="60"/>
      <c r="H10" s="61" t="s">
        <v>85</v>
      </c>
      <c r="J10" s="165" t="s">
        <v>273</v>
      </c>
    </row>
    <row r="11" spans="1:10" ht="14.25" x14ac:dyDescent="0.2">
      <c r="A11" s="98"/>
      <c r="B11" s="62" t="s">
        <v>86</v>
      </c>
      <c r="G11" s="62"/>
      <c r="H11" s="63" t="str">
        <f>J10&amp;J11</f>
        <v>FB13</v>
      </c>
      <c r="J11" s="174">
        <v>13</v>
      </c>
    </row>
    <row r="12" spans="1:10" ht="15" x14ac:dyDescent="0.2">
      <c r="A12" s="98"/>
      <c r="B12" s="62" t="s">
        <v>87</v>
      </c>
      <c r="G12" s="60"/>
      <c r="H12" s="61" t="s">
        <v>88</v>
      </c>
      <c r="J12" s="55">
        <v>7</v>
      </c>
    </row>
    <row r="13" spans="1:10" ht="14.25" x14ac:dyDescent="0.2">
      <c r="A13" s="98"/>
      <c r="B13" s="62"/>
      <c r="G13" s="64"/>
      <c r="H13" s="181" t="s">
        <v>281</v>
      </c>
      <c r="J13" s="55">
        <v>1</v>
      </c>
    </row>
    <row r="14" spans="1:10" ht="15" x14ac:dyDescent="0.2">
      <c r="A14" s="98"/>
      <c r="G14" s="60"/>
      <c r="H14" s="61" t="s">
        <v>89</v>
      </c>
    </row>
    <row r="15" spans="1:10" ht="14.25" x14ac:dyDescent="0.2">
      <c r="A15" s="98"/>
      <c r="G15" s="64"/>
      <c r="H15" s="65">
        <f>H13+J12</f>
        <v>32723</v>
      </c>
    </row>
    <row r="16" spans="1:10" ht="14.25" x14ac:dyDescent="0.2">
      <c r="A16" s="98"/>
      <c r="B16" s="62"/>
      <c r="F16" s="65"/>
      <c r="G16" s="65"/>
      <c r="H16" s="65"/>
    </row>
    <row r="17" spans="1:8" ht="14.25" x14ac:dyDescent="0.2">
      <c r="A17" s="98"/>
      <c r="F17" s="65"/>
      <c r="G17" s="65"/>
      <c r="H17" s="66"/>
    </row>
    <row r="18" spans="1:8" ht="22.5" customHeight="1" x14ac:dyDescent="0.2">
      <c r="A18" s="98"/>
      <c r="B18" s="279" t="s">
        <v>90</v>
      </c>
      <c r="C18" s="280"/>
      <c r="D18" s="280"/>
      <c r="E18" s="280"/>
      <c r="F18" s="65"/>
      <c r="G18" s="65"/>
      <c r="H18" s="66"/>
    </row>
    <row r="19" spans="1:8" ht="15" x14ac:dyDescent="0.2">
      <c r="A19" s="98"/>
      <c r="B19" s="279" t="s">
        <v>275</v>
      </c>
      <c r="C19" s="280"/>
      <c r="D19" s="280"/>
      <c r="E19" s="280"/>
      <c r="F19" s="65"/>
      <c r="G19" s="65"/>
      <c r="H19" s="66"/>
    </row>
    <row r="20" spans="1:8" ht="14.25" x14ac:dyDescent="0.2">
      <c r="A20" s="98"/>
      <c r="B20" s="281" t="s">
        <v>282</v>
      </c>
      <c r="C20" s="280"/>
      <c r="D20" s="280"/>
      <c r="E20" s="280"/>
      <c r="F20" s="65"/>
      <c r="G20" s="65"/>
      <c r="H20" s="66"/>
    </row>
    <row r="21" spans="1:8" ht="14.25" x14ac:dyDescent="0.2">
      <c r="A21" s="98"/>
      <c r="B21" s="62"/>
      <c r="C21" s="67"/>
      <c r="D21" s="67"/>
      <c r="E21" s="67"/>
      <c r="F21" s="65"/>
      <c r="G21" s="65"/>
      <c r="H21" s="66"/>
    </row>
    <row r="22" spans="1:8" ht="14.25" x14ac:dyDescent="0.2">
      <c r="A22" s="98"/>
      <c r="B22" s="62"/>
      <c r="C22" s="67"/>
      <c r="D22" s="67"/>
      <c r="E22" s="67"/>
      <c r="F22" s="65"/>
      <c r="G22" s="65"/>
      <c r="H22" s="66"/>
    </row>
    <row r="23" spans="1:8" ht="22.5" customHeight="1" x14ac:dyDescent="0.2">
      <c r="A23" s="98"/>
      <c r="B23" s="282"/>
      <c r="C23" s="280"/>
      <c r="D23" s="280"/>
      <c r="E23" s="280"/>
      <c r="F23" s="67"/>
      <c r="G23" s="67"/>
      <c r="H23" s="67"/>
    </row>
    <row r="24" spans="1:8" ht="27.75" customHeight="1" x14ac:dyDescent="0.2">
      <c r="B24" s="280"/>
      <c r="C24" s="280"/>
      <c r="D24" s="280"/>
      <c r="E24" s="280"/>
      <c r="F24" s="280"/>
      <c r="G24" s="280"/>
      <c r="H24" s="280"/>
    </row>
    <row r="25" spans="1:8" ht="27.75" customHeight="1" x14ac:dyDescent="0.2">
      <c r="B25" s="67"/>
      <c r="C25" s="67"/>
      <c r="D25" s="67"/>
      <c r="E25" s="67"/>
      <c r="F25" s="67"/>
      <c r="G25" s="67"/>
      <c r="H25" s="67"/>
    </row>
    <row r="26" spans="1:8" ht="15.75" customHeight="1" x14ac:dyDescent="0.2">
      <c r="B26" s="67"/>
      <c r="C26" s="67"/>
      <c r="D26" s="67"/>
      <c r="E26" s="67"/>
      <c r="F26" s="67"/>
      <c r="G26" s="67"/>
      <c r="H26" s="67"/>
    </row>
    <row r="27" spans="1:8" ht="15" x14ac:dyDescent="0.25">
      <c r="B27" s="68" t="s">
        <v>88</v>
      </c>
      <c r="C27" s="272" t="s">
        <v>92</v>
      </c>
      <c r="D27" s="272"/>
      <c r="E27" s="70" t="s">
        <v>93</v>
      </c>
      <c r="F27" s="70" t="s">
        <v>262</v>
      </c>
      <c r="G27" s="70" t="s">
        <v>18</v>
      </c>
      <c r="H27" s="70" t="s">
        <v>121</v>
      </c>
    </row>
    <row r="28" spans="1:8" ht="54.75" customHeight="1" x14ac:dyDescent="0.2">
      <c r="B28" s="71">
        <f>H13-J13</f>
        <v>32715</v>
      </c>
      <c r="C28" s="285" t="s">
        <v>137</v>
      </c>
      <c r="D28" s="285"/>
      <c r="E28" s="182">
        <v>25</v>
      </c>
      <c r="F28" s="180">
        <v>10</v>
      </c>
      <c r="G28" s="119">
        <v>0.1</v>
      </c>
      <c r="H28" s="117">
        <f>E28*F28</f>
        <v>250</v>
      </c>
    </row>
    <row r="29" spans="1:8" ht="15.75" customHeight="1" x14ac:dyDescent="0.2">
      <c r="B29" s="76"/>
      <c r="C29" s="286"/>
      <c r="D29" s="287"/>
      <c r="E29" s="109"/>
      <c r="F29" s="110"/>
      <c r="G29" s="110"/>
      <c r="H29" s="111"/>
    </row>
    <row r="30" spans="1:8" ht="30" customHeight="1" x14ac:dyDescent="0.2">
      <c r="B30" s="72"/>
      <c r="C30" s="288"/>
      <c r="D30" s="289"/>
      <c r="E30" s="63"/>
      <c r="F30" s="79" t="s">
        <v>97</v>
      </c>
      <c r="G30" s="79"/>
      <c r="H30" s="80">
        <f>SUM(H28:H29)</f>
        <v>250</v>
      </c>
    </row>
    <row r="31" spans="1:8" ht="30" customHeight="1" x14ac:dyDescent="0.2">
      <c r="B31" s="72"/>
      <c r="C31" s="72"/>
      <c r="D31" s="67"/>
      <c r="E31" s="63"/>
      <c r="F31" s="79" t="s">
        <v>125</v>
      </c>
      <c r="G31" s="79"/>
      <c r="H31" s="80">
        <f>G28*H28</f>
        <v>25</v>
      </c>
    </row>
    <row r="32" spans="1:8" ht="30" customHeight="1" x14ac:dyDescent="0.2">
      <c r="B32" s="72"/>
      <c r="C32" s="290"/>
      <c r="D32" s="280"/>
      <c r="E32" s="63"/>
      <c r="F32" s="81" t="s">
        <v>99</v>
      </c>
      <c r="G32" s="81"/>
      <c r="H32" s="82">
        <v>0</v>
      </c>
    </row>
    <row r="33" spans="1:9" ht="30" customHeight="1" x14ac:dyDescent="0.25">
      <c r="B33" s="83"/>
      <c r="C33" s="291"/>
      <c r="D33" s="278"/>
      <c r="E33" s="84"/>
      <c r="F33" s="85" t="s">
        <v>100</v>
      </c>
      <c r="G33" s="85"/>
      <c r="H33" s="86">
        <f>SUM(H30:H32)</f>
        <v>275</v>
      </c>
    </row>
    <row r="34" spans="1:9" ht="30" customHeight="1" x14ac:dyDescent="0.25">
      <c r="B34" s="83"/>
      <c r="C34" s="83"/>
      <c r="E34" s="84"/>
      <c r="F34" s="85"/>
      <c r="G34" s="85"/>
      <c r="H34" s="87"/>
    </row>
    <row r="35" spans="1:9" ht="30" customHeight="1" x14ac:dyDescent="0.25">
      <c r="B35" s="83"/>
      <c r="C35" s="83"/>
      <c r="E35" s="84"/>
      <c r="F35" s="85"/>
      <c r="G35" s="85"/>
      <c r="H35" s="86"/>
    </row>
    <row r="36" spans="1:9" ht="30" customHeight="1" x14ac:dyDescent="0.25">
      <c r="B36" s="83"/>
      <c r="C36" s="83"/>
      <c r="E36" s="84"/>
      <c r="F36" s="85"/>
      <c r="G36" s="85"/>
      <c r="H36" s="86"/>
    </row>
    <row r="37" spans="1:9" ht="30" customHeight="1" x14ac:dyDescent="0.25">
      <c r="B37" s="83"/>
      <c r="C37" s="83"/>
      <c r="E37" s="84"/>
      <c r="F37" s="85"/>
      <c r="G37" s="85"/>
      <c r="H37" s="86"/>
    </row>
    <row r="38" spans="1:9" ht="30" customHeight="1" x14ac:dyDescent="0.25">
      <c r="B38" s="83"/>
      <c r="C38" s="83"/>
      <c r="E38" s="84"/>
      <c r="F38" s="85"/>
      <c r="G38" s="85"/>
      <c r="H38" s="86"/>
    </row>
    <row r="39" spans="1:9" ht="30" customHeight="1" x14ac:dyDescent="0.25">
      <c r="B39" s="83"/>
      <c r="C39" s="83"/>
      <c r="E39" s="84"/>
      <c r="F39" s="85"/>
      <c r="G39" s="85"/>
      <c r="H39" s="86"/>
    </row>
    <row r="40" spans="1:9" ht="30" customHeight="1" x14ac:dyDescent="0.25">
      <c r="B40" s="83"/>
      <c r="C40" s="83"/>
      <c r="E40" s="84"/>
      <c r="F40" s="85"/>
      <c r="G40" s="85"/>
      <c r="H40" s="86"/>
    </row>
    <row r="41" spans="1:9" ht="30" customHeight="1" x14ac:dyDescent="0.2">
      <c r="B41" s="83"/>
      <c r="C41" s="88"/>
      <c r="D41" s="292" t="s">
        <v>101</v>
      </c>
      <c r="E41" s="292"/>
      <c r="F41" s="292"/>
      <c r="G41" s="89"/>
      <c r="H41" s="90"/>
    </row>
    <row r="42" spans="1:9" ht="12.75" customHeight="1" x14ac:dyDescent="0.2"/>
    <row r="43" spans="1:9" ht="12.75" x14ac:dyDescent="0.2">
      <c r="A43" s="92"/>
      <c r="B43" s="91" t="s">
        <v>102</v>
      </c>
      <c r="C43" s="92"/>
      <c r="D43" s="92"/>
      <c r="E43" s="120"/>
      <c r="F43" s="121"/>
      <c r="G43" s="121"/>
      <c r="H43" s="93" t="s">
        <v>103</v>
      </c>
      <c r="I43" s="122"/>
    </row>
    <row r="44" spans="1:9" ht="14.25" customHeight="1" x14ac:dyDescent="0.2">
      <c r="A44" s="92"/>
      <c r="B44" s="94" t="s">
        <v>104</v>
      </c>
      <c r="C44" s="53"/>
      <c r="D44" s="53"/>
      <c r="E44" s="120"/>
      <c r="F44" s="120"/>
      <c r="G44" s="283">
        <f>H33</f>
        <v>275</v>
      </c>
      <c r="H44" s="283"/>
      <c r="I44" s="122"/>
    </row>
    <row r="45" spans="1:9" ht="14.25" customHeight="1" x14ac:dyDescent="0.2">
      <c r="A45" s="53"/>
      <c r="B45" s="94" t="s">
        <v>106</v>
      </c>
      <c r="C45" s="53"/>
      <c r="D45" s="53"/>
      <c r="E45" s="120"/>
      <c r="F45" s="120"/>
      <c r="G45" s="283"/>
      <c r="H45" s="283"/>
      <c r="I45" s="122"/>
    </row>
    <row r="46" spans="1:9" ht="14.25" x14ac:dyDescent="0.2">
      <c r="A46" s="53"/>
      <c r="B46" s="94" t="s">
        <v>107</v>
      </c>
      <c r="C46" s="53"/>
      <c r="D46" s="53"/>
      <c r="E46" s="95"/>
      <c r="F46" s="95"/>
      <c r="G46" s="95"/>
      <c r="H46" s="95"/>
      <c r="I46" s="95"/>
    </row>
    <row r="47" spans="1:9" ht="14.25" x14ac:dyDescent="0.2">
      <c r="A47" s="53"/>
      <c r="B47" s="94" t="s">
        <v>114</v>
      </c>
      <c r="C47" s="96"/>
      <c r="D47" s="96"/>
      <c r="E47" s="97"/>
      <c r="F47" s="97"/>
      <c r="G47" s="97"/>
      <c r="H47" s="97"/>
      <c r="I47" s="95"/>
    </row>
    <row r="48" spans="1:9" ht="53.25" customHeight="1" x14ac:dyDescent="0.2">
      <c r="B48" s="284"/>
      <c r="C48" s="278"/>
      <c r="D48" s="278"/>
      <c r="E48" s="278"/>
      <c r="F48" s="278"/>
      <c r="G48" s="278"/>
      <c r="H48" s="278"/>
    </row>
    <row r="52" spans="6:7" ht="15.75" customHeight="1" x14ac:dyDescent="0.2">
      <c r="F52" s="62"/>
      <c r="G52" s="62"/>
    </row>
    <row r="53" spans="6:7" ht="15.75" customHeight="1" x14ac:dyDescent="0.2">
      <c r="F53" s="62"/>
      <c r="G53" s="62"/>
    </row>
    <row r="54" spans="6:7" ht="15.75" customHeight="1" x14ac:dyDescent="0.2">
      <c r="F54" s="62"/>
      <c r="G54" s="62"/>
    </row>
    <row r="57" spans="6:7" ht="15.75" customHeight="1" x14ac:dyDescent="0.2">
      <c r="F57" s="62"/>
      <c r="G57" s="62"/>
    </row>
    <row r="59" spans="6:7" ht="15.75" customHeight="1" x14ac:dyDescent="0.2">
      <c r="F59" s="62"/>
      <c r="G59" s="62"/>
    </row>
  </sheetData>
  <mergeCells count="20">
    <mergeCell ref="G44:H45"/>
    <mergeCell ref="B48:H48"/>
    <mergeCell ref="C28:D28"/>
    <mergeCell ref="C29:D29"/>
    <mergeCell ref="C30:D30"/>
    <mergeCell ref="C32:D32"/>
    <mergeCell ref="C33:D33"/>
    <mergeCell ref="D41:F41"/>
    <mergeCell ref="C27:D27"/>
    <mergeCell ref="E3:H3"/>
    <mergeCell ref="B4:D6"/>
    <mergeCell ref="E4:H4"/>
    <mergeCell ref="E5:H5"/>
    <mergeCell ref="E6:H6"/>
    <mergeCell ref="B9:H9"/>
    <mergeCell ref="B18:E18"/>
    <mergeCell ref="B19:E19"/>
    <mergeCell ref="B20:E20"/>
    <mergeCell ref="B23:E23"/>
    <mergeCell ref="B24:H24"/>
  </mergeCells>
  <conditionalFormatting sqref="B26">
    <cfRule type="notContainsBlanks" dxfId="55" priority="1">
      <formula>LEN(TRIM(B26))&gt;0</formula>
    </cfRule>
  </conditionalFormatting>
  <pageMargins left="0.7" right="0.7" top="0.75" bottom="0.75" header="0.3" footer="0.3"/>
  <pageSetup paperSize="9" scale="64" orientation="portrait" cellComments="atEnd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BDBABB-3B93-4938-A9DF-BBFCD4717B77}">
  <sheetPr codeName="Sheet1">
    <tabColor theme="9" tint="-0.499984740745262"/>
    <outlinePr summaryBelow="0" summaryRight="0"/>
    <pageSetUpPr fitToPage="1"/>
  </sheetPr>
  <dimension ref="A1:K57"/>
  <sheetViews>
    <sheetView showGridLines="0" zoomScaleNormal="100" workbookViewId="0">
      <selection activeCell="H11" sqref="H11"/>
    </sheetView>
  </sheetViews>
  <sheetFormatPr defaultColWidth="14.42578125" defaultRowHeight="15.75" customHeight="1" x14ac:dyDescent="0.2"/>
  <cols>
    <col min="1" max="1" width="2.85546875" style="55" customWidth="1"/>
    <col min="2" max="3" width="14.42578125" style="55"/>
    <col min="4" max="4" width="18.140625" style="55" customWidth="1"/>
    <col min="5" max="5" width="18.140625" style="55" bestFit="1" customWidth="1"/>
    <col min="6" max="6" width="16.42578125" style="55" customWidth="1"/>
    <col min="7" max="7" width="9.7109375" style="55" customWidth="1"/>
    <col min="8" max="8" width="13.7109375" style="55" bestFit="1" customWidth="1"/>
    <col min="9" max="9" width="3.28515625" style="55" customWidth="1"/>
    <col min="10" max="16384" width="14.42578125" style="55"/>
  </cols>
  <sheetData>
    <row r="1" spans="1:10" ht="39" customHeight="1" x14ac:dyDescent="0.2">
      <c r="A1" s="54"/>
      <c r="B1" s="54"/>
      <c r="C1" s="54"/>
      <c r="D1" s="54"/>
      <c r="E1" s="54"/>
      <c r="F1" s="54"/>
      <c r="G1" s="54"/>
      <c r="H1" s="54"/>
      <c r="I1" s="54"/>
    </row>
    <row r="2" spans="1:10" x14ac:dyDescent="0.25">
      <c r="A2" s="54"/>
      <c r="B2" s="56"/>
      <c r="C2" s="56"/>
      <c r="D2" s="56"/>
      <c r="E2" s="57"/>
      <c r="F2" s="57"/>
      <c r="G2" s="57"/>
      <c r="H2" s="57"/>
      <c r="I2" s="56"/>
    </row>
    <row r="3" spans="1:10" ht="12.75" x14ac:dyDescent="0.2">
      <c r="A3" s="54"/>
      <c r="B3" s="56"/>
      <c r="C3" s="56"/>
      <c r="D3" s="56"/>
      <c r="E3" s="273"/>
      <c r="F3" s="274"/>
      <c r="G3" s="274"/>
      <c r="H3" s="274"/>
      <c r="I3" s="56"/>
    </row>
    <row r="4" spans="1:10" ht="12.75" x14ac:dyDescent="0.2">
      <c r="A4" s="54"/>
      <c r="B4" s="275" t="s">
        <v>83</v>
      </c>
      <c r="C4" s="276"/>
      <c r="D4" s="276"/>
      <c r="E4" s="277"/>
      <c r="F4" s="274"/>
      <c r="G4" s="274"/>
      <c r="H4" s="274"/>
      <c r="I4" s="56"/>
    </row>
    <row r="5" spans="1:10" ht="12.75" x14ac:dyDescent="0.2">
      <c r="A5" s="54"/>
      <c r="B5" s="276"/>
      <c r="C5" s="276"/>
      <c r="D5" s="276"/>
      <c r="E5" s="277"/>
      <c r="F5" s="274"/>
      <c r="G5" s="274"/>
      <c r="H5" s="274"/>
      <c r="I5" s="56"/>
    </row>
    <row r="6" spans="1:10" ht="12.75" x14ac:dyDescent="0.2">
      <c r="A6" s="54"/>
      <c r="B6" s="276"/>
      <c r="C6" s="276"/>
      <c r="D6" s="276"/>
      <c r="E6" s="277"/>
      <c r="F6" s="274"/>
      <c r="G6" s="274"/>
      <c r="H6" s="274"/>
      <c r="I6" s="56"/>
    </row>
    <row r="7" spans="1:10" ht="12.75" x14ac:dyDescent="0.2">
      <c r="A7" s="54"/>
      <c r="B7" s="54"/>
      <c r="C7" s="54"/>
      <c r="D7" s="54"/>
      <c r="E7" s="54"/>
      <c r="F7" s="54"/>
      <c r="G7" s="54"/>
      <c r="H7" s="54"/>
      <c r="I7" s="54"/>
    </row>
    <row r="8" spans="1:10" ht="12.75" x14ac:dyDescent="0.2">
      <c r="A8" s="54"/>
      <c r="B8" s="54"/>
      <c r="C8" s="54"/>
      <c r="D8" s="54"/>
      <c r="E8" s="54"/>
      <c r="F8" s="54"/>
      <c r="G8" s="54"/>
      <c r="H8" s="54"/>
      <c r="I8" s="54"/>
    </row>
    <row r="9" spans="1:10" ht="12.75" x14ac:dyDescent="0.2">
      <c r="A9" s="58"/>
      <c r="B9" s="58"/>
      <c r="C9" s="58"/>
      <c r="D9" s="58"/>
      <c r="E9" s="58"/>
      <c r="F9" s="58"/>
      <c r="G9" s="58"/>
      <c r="H9" s="58"/>
      <c r="I9" s="58"/>
      <c r="J9" s="59"/>
    </row>
    <row r="10" spans="1:10" ht="15" customHeight="1" x14ac:dyDescent="0.2">
      <c r="A10" s="98"/>
      <c r="B10" s="60" t="s">
        <v>84</v>
      </c>
      <c r="G10" s="60"/>
      <c r="H10" s="61" t="s">
        <v>85</v>
      </c>
      <c r="J10" s="55" t="s">
        <v>267</v>
      </c>
    </row>
    <row r="11" spans="1:10" ht="14.25" x14ac:dyDescent="0.2">
      <c r="A11" s="98"/>
      <c r="B11" s="62" t="s">
        <v>86</v>
      </c>
      <c r="G11" s="63"/>
      <c r="H11" s="65" t="str">
        <f>"GM"&amp;J11</f>
        <v>GM52</v>
      </c>
      <c r="J11" s="55">
        <v>52</v>
      </c>
    </row>
    <row r="12" spans="1:10" ht="15" x14ac:dyDescent="0.2">
      <c r="A12" s="98"/>
      <c r="B12" s="62" t="s">
        <v>87</v>
      </c>
      <c r="G12" s="60"/>
      <c r="H12" s="61" t="s">
        <v>88</v>
      </c>
      <c r="J12" s="55">
        <v>7</v>
      </c>
    </row>
    <row r="13" spans="1:10" ht="14.25" x14ac:dyDescent="0.2">
      <c r="A13" s="98"/>
      <c r="B13" s="62"/>
      <c r="G13" s="64"/>
      <c r="H13" s="65">
        <v>44950</v>
      </c>
    </row>
    <row r="14" spans="1:10" ht="15" x14ac:dyDescent="0.2">
      <c r="A14" s="98"/>
      <c r="F14" s="107"/>
      <c r="G14" s="60"/>
      <c r="H14" s="61" t="s">
        <v>89</v>
      </c>
    </row>
    <row r="15" spans="1:10" ht="14.25" x14ac:dyDescent="0.2">
      <c r="A15" s="98"/>
      <c r="G15" s="64"/>
      <c r="H15" s="65">
        <f>H13+J12</f>
        <v>44957</v>
      </c>
    </row>
    <row r="16" spans="1:10" ht="14.25" x14ac:dyDescent="0.2">
      <c r="A16" s="98"/>
      <c r="B16" s="62"/>
      <c r="G16" s="65"/>
      <c r="H16" s="65"/>
    </row>
    <row r="17" spans="1:8" ht="14.25" x14ac:dyDescent="0.2">
      <c r="A17" s="98"/>
      <c r="F17" s="65"/>
      <c r="G17" s="65"/>
      <c r="H17" s="66"/>
    </row>
    <row r="18" spans="1:8" ht="22.5" customHeight="1" x14ac:dyDescent="0.2">
      <c r="A18" s="98"/>
      <c r="B18" s="279" t="s">
        <v>90</v>
      </c>
      <c r="C18" s="280"/>
      <c r="D18" s="280"/>
      <c r="E18" s="280"/>
      <c r="F18" s="65"/>
      <c r="G18" s="65"/>
      <c r="H18" s="66"/>
    </row>
    <row r="19" spans="1:8" ht="15" x14ac:dyDescent="0.2">
      <c r="A19" s="98"/>
      <c r="B19" s="295" t="s">
        <v>32</v>
      </c>
      <c r="C19" s="296"/>
      <c r="D19" s="296"/>
      <c r="E19" s="296"/>
      <c r="F19" s="65"/>
      <c r="G19" s="65"/>
      <c r="H19" s="66"/>
    </row>
    <row r="20" spans="1:8" ht="14.25" x14ac:dyDescent="0.2">
      <c r="A20" s="98"/>
      <c r="B20" s="297" t="s">
        <v>128</v>
      </c>
      <c r="C20" s="296"/>
      <c r="D20" s="296"/>
      <c r="E20" s="296"/>
      <c r="F20" s="65"/>
      <c r="G20" s="65"/>
      <c r="H20" s="66"/>
    </row>
    <row r="21" spans="1:8" ht="14.25" x14ac:dyDescent="0.2">
      <c r="A21" s="98"/>
      <c r="B21" s="62"/>
      <c r="C21" s="67"/>
      <c r="D21" s="67"/>
      <c r="E21" s="67"/>
      <c r="F21" s="65"/>
      <c r="G21" s="65"/>
      <c r="H21" s="66"/>
    </row>
    <row r="22" spans="1:8" ht="14.25" x14ac:dyDescent="0.2">
      <c r="A22" s="98"/>
      <c r="B22" s="62"/>
      <c r="C22" s="67"/>
      <c r="D22" s="67"/>
      <c r="E22" s="67"/>
      <c r="F22" s="65"/>
      <c r="G22" s="65"/>
      <c r="H22" s="66"/>
    </row>
    <row r="23" spans="1:8" ht="14.25" x14ac:dyDescent="0.2">
      <c r="A23" s="98"/>
      <c r="B23" s="62"/>
      <c r="C23" s="67"/>
      <c r="D23" s="67"/>
      <c r="E23" s="67"/>
      <c r="F23" s="65"/>
      <c r="G23" s="65"/>
      <c r="H23" s="66"/>
    </row>
    <row r="24" spans="1:8" ht="14.25" x14ac:dyDescent="0.2">
      <c r="A24" s="98"/>
      <c r="B24" s="282"/>
      <c r="C24" s="280"/>
      <c r="D24" s="280"/>
      <c r="E24" s="280"/>
      <c r="F24" s="67"/>
      <c r="G24" s="67"/>
      <c r="H24" s="67"/>
    </row>
    <row r="25" spans="1:8" ht="14.25" x14ac:dyDescent="0.2">
      <c r="B25" s="280"/>
      <c r="C25" s="280"/>
      <c r="D25" s="280"/>
      <c r="E25" s="280"/>
      <c r="F25" s="280"/>
      <c r="G25" s="280"/>
      <c r="H25" s="280"/>
    </row>
    <row r="26" spans="1:8" ht="15.75" customHeight="1" x14ac:dyDescent="0.2">
      <c r="B26" s="67"/>
      <c r="C26" s="67"/>
      <c r="D26" s="67"/>
      <c r="E26" s="67"/>
      <c r="F26" s="67"/>
      <c r="G26" s="67"/>
      <c r="H26" s="67"/>
    </row>
    <row r="27" spans="1:8" ht="15" x14ac:dyDescent="0.25">
      <c r="B27" s="68" t="s">
        <v>88</v>
      </c>
      <c r="C27" s="272" t="s">
        <v>92</v>
      </c>
      <c r="D27" s="272"/>
      <c r="E27" s="70" t="s">
        <v>93</v>
      </c>
      <c r="F27" s="70" t="s">
        <v>129</v>
      </c>
      <c r="G27" s="70" t="s">
        <v>18</v>
      </c>
      <c r="H27" s="70" t="s">
        <v>95</v>
      </c>
    </row>
    <row r="28" spans="1:8" ht="31.5" customHeight="1" x14ac:dyDescent="0.2">
      <c r="B28" s="71">
        <v>44949</v>
      </c>
      <c r="C28" s="293" t="s">
        <v>130</v>
      </c>
      <c r="D28" s="294"/>
      <c r="E28" s="99">
        <v>38</v>
      </c>
      <c r="F28" s="108">
        <v>3</v>
      </c>
      <c r="G28" s="101">
        <v>0.1</v>
      </c>
      <c r="H28" s="99">
        <f>E28*F28</f>
        <v>114</v>
      </c>
    </row>
    <row r="29" spans="1:8" ht="19.5" customHeight="1" x14ac:dyDescent="0.2">
      <c r="B29" s="102"/>
      <c r="C29" s="286"/>
      <c r="D29" s="287"/>
      <c r="E29" s="77"/>
      <c r="F29" s="103"/>
      <c r="G29" s="103"/>
      <c r="H29" s="77"/>
    </row>
    <row r="30" spans="1:8" ht="30" customHeight="1" x14ac:dyDescent="0.2">
      <c r="B30" s="71"/>
      <c r="C30" s="290"/>
      <c r="D30" s="280"/>
      <c r="E30" s="63"/>
      <c r="F30" s="79"/>
      <c r="G30" s="79" t="s">
        <v>97</v>
      </c>
      <c r="H30" s="80">
        <f>SUM(H28:H29)</f>
        <v>114</v>
      </c>
    </row>
    <row r="31" spans="1:8" ht="30" customHeight="1" x14ac:dyDescent="0.2">
      <c r="B31" s="72"/>
      <c r="C31" s="72"/>
      <c r="D31" s="67"/>
      <c r="E31" s="63"/>
      <c r="F31" s="79"/>
      <c r="G31" s="79" t="s">
        <v>113</v>
      </c>
      <c r="H31" s="80">
        <f>G28*H30</f>
        <v>11.4</v>
      </c>
    </row>
    <row r="32" spans="1:8" ht="30" customHeight="1" x14ac:dyDescent="0.2">
      <c r="B32" s="72"/>
      <c r="C32" s="290"/>
      <c r="D32" s="280"/>
      <c r="E32" s="63"/>
      <c r="F32" s="81"/>
      <c r="G32" s="81" t="s">
        <v>99</v>
      </c>
      <c r="H32" s="82">
        <v>0</v>
      </c>
    </row>
    <row r="33" spans="1:11" ht="30" customHeight="1" x14ac:dyDescent="0.25">
      <c r="B33" s="83"/>
      <c r="C33" s="291"/>
      <c r="D33" s="278"/>
      <c r="E33" s="84"/>
      <c r="F33" s="85"/>
      <c r="G33" s="85" t="s">
        <v>100</v>
      </c>
      <c r="H33" s="86">
        <f>SUM(H30:H32)</f>
        <v>125.4</v>
      </c>
    </row>
    <row r="34" spans="1:11" ht="30" customHeight="1" x14ac:dyDescent="0.25">
      <c r="B34" s="83"/>
      <c r="C34" s="83"/>
      <c r="E34" s="84"/>
      <c r="F34" s="85"/>
      <c r="G34" s="85"/>
      <c r="H34" s="87"/>
    </row>
    <row r="35" spans="1:11" ht="30" customHeight="1" x14ac:dyDescent="0.25">
      <c r="B35" s="83"/>
      <c r="C35" s="83"/>
      <c r="E35" s="84"/>
      <c r="F35" s="85"/>
      <c r="G35" s="85"/>
      <c r="H35" s="86"/>
    </row>
    <row r="36" spans="1:11" ht="30" customHeight="1" x14ac:dyDescent="0.25">
      <c r="B36" s="83"/>
      <c r="C36" s="83"/>
      <c r="E36" s="84"/>
      <c r="F36" s="85"/>
      <c r="G36" s="85"/>
      <c r="H36" s="86"/>
    </row>
    <row r="37" spans="1:11" ht="30" customHeight="1" x14ac:dyDescent="0.25">
      <c r="B37" s="83"/>
      <c r="C37" s="83"/>
      <c r="E37" s="84"/>
      <c r="F37" s="85"/>
      <c r="G37" s="85"/>
      <c r="H37" s="86"/>
    </row>
    <row r="38" spans="1:11" ht="30" customHeight="1" x14ac:dyDescent="0.25">
      <c r="B38" s="83"/>
      <c r="C38" s="83"/>
      <c r="E38" s="84"/>
      <c r="F38" s="85"/>
      <c r="G38" s="85"/>
      <c r="H38" s="86"/>
    </row>
    <row r="39" spans="1:11" ht="30" customHeight="1" x14ac:dyDescent="0.2">
      <c r="B39" s="83"/>
      <c r="C39" s="88"/>
      <c r="D39" s="292" t="s">
        <v>101</v>
      </c>
      <c r="E39" s="292"/>
      <c r="F39" s="292"/>
      <c r="G39" s="89"/>
      <c r="H39" s="90"/>
    </row>
    <row r="40" spans="1:11" ht="12.75" customHeight="1" x14ac:dyDescent="0.2">
      <c r="K40" s="113"/>
    </row>
    <row r="41" spans="1:11" ht="12.75" x14ac:dyDescent="0.2">
      <c r="A41" s="92"/>
      <c r="B41" s="91" t="s">
        <v>102</v>
      </c>
      <c r="C41" s="92"/>
      <c r="D41" s="92"/>
      <c r="E41" s="104"/>
      <c r="F41" s="95"/>
      <c r="G41" s="95"/>
      <c r="H41" s="105" t="s">
        <v>103</v>
      </c>
      <c r="I41" s="106"/>
    </row>
    <row r="42" spans="1:11" ht="14.25" customHeight="1" x14ac:dyDescent="0.2">
      <c r="A42" s="92"/>
      <c r="B42" s="94" t="s">
        <v>104</v>
      </c>
      <c r="C42" s="53"/>
      <c r="D42" s="53"/>
      <c r="E42" s="104"/>
      <c r="F42" s="104"/>
      <c r="G42" s="283">
        <f>H33</f>
        <v>125.4</v>
      </c>
      <c r="H42" s="283"/>
      <c r="I42" s="298"/>
    </row>
    <row r="43" spans="1:11" ht="14.25" x14ac:dyDescent="0.2">
      <c r="A43" s="53"/>
      <c r="B43" s="94" t="s">
        <v>105</v>
      </c>
      <c r="C43" s="53"/>
      <c r="D43" s="53"/>
      <c r="E43" s="104"/>
      <c r="F43" s="104"/>
      <c r="G43" s="283"/>
      <c r="H43" s="283"/>
      <c r="I43" s="298"/>
    </row>
    <row r="44" spans="1:11" ht="14.25" x14ac:dyDescent="0.2">
      <c r="A44" s="53"/>
      <c r="B44" s="94" t="s">
        <v>106</v>
      </c>
      <c r="C44" s="53"/>
      <c r="D44" s="53"/>
      <c r="E44" s="95"/>
      <c r="F44" s="95"/>
      <c r="G44" s="95"/>
      <c r="H44" s="95"/>
      <c r="I44" s="95"/>
    </row>
    <row r="45" spans="1:11" ht="14.25" x14ac:dyDescent="0.2">
      <c r="A45" s="53"/>
      <c r="B45" s="94" t="s">
        <v>107</v>
      </c>
      <c r="C45" s="96"/>
      <c r="D45" s="96"/>
      <c r="E45" s="97"/>
      <c r="F45" s="97"/>
      <c r="G45" s="97"/>
      <c r="H45" s="97"/>
      <c r="I45" s="95"/>
    </row>
    <row r="46" spans="1:11" ht="53.25" customHeight="1" x14ac:dyDescent="0.2">
      <c r="B46" s="284"/>
      <c r="C46" s="278"/>
      <c r="D46" s="278"/>
      <c r="E46" s="278"/>
      <c r="F46" s="278"/>
      <c r="G46" s="278"/>
      <c r="H46" s="278"/>
    </row>
    <row r="50" spans="2:7" ht="15.75" customHeight="1" x14ac:dyDescent="0.2">
      <c r="F50" s="62"/>
      <c r="G50" s="62"/>
    </row>
    <row r="51" spans="2:7" ht="15.75" customHeight="1" x14ac:dyDescent="0.2">
      <c r="F51" s="62"/>
      <c r="G51" s="62"/>
    </row>
    <row r="52" spans="2:7" ht="15.75" customHeight="1" x14ac:dyDescent="0.2">
      <c r="F52" s="62"/>
      <c r="G52" s="62"/>
    </row>
    <row r="55" spans="2:7" ht="15.75" customHeight="1" x14ac:dyDescent="0.2">
      <c r="F55" s="62"/>
      <c r="G55" s="62"/>
    </row>
    <row r="56" spans="2:7" ht="15.75" customHeight="1" x14ac:dyDescent="0.25">
      <c r="B56" s="20">
        <v>3</v>
      </c>
    </row>
    <row r="57" spans="2:7" ht="15.75" customHeight="1" x14ac:dyDescent="0.2">
      <c r="F57" s="62"/>
      <c r="G57" s="62"/>
    </row>
  </sheetData>
  <mergeCells count="20">
    <mergeCell ref="I42:I43"/>
    <mergeCell ref="B46:H46"/>
    <mergeCell ref="C29:D29"/>
    <mergeCell ref="C30:D30"/>
    <mergeCell ref="C32:D32"/>
    <mergeCell ref="C33:D33"/>
    <mergeCell ref="D39:F39"/>
    <mergeCell ref="G42:H43"/>
    <mergeCell ref="C28:D28"/>
    <mergeCell ref="E3:H3"/>
    <mergeCell ref="B4:D6"/>
    <mergeCell ref="E4:H4"/>
    <mergeCell ref="E5:H5"/>
    <mergeCell ref="E6:H6"/>
    <mergeCell ref="B18:E18"/>
    <mergeCell ref="B19:E19"/>
    <mergeCell ref="B20:E20"/>
    <mergeCell ref="B24:E24"/>
    <mergeCell ref="B25:H25"/>
    <mergeCell ref="C27:D27"/>
  </mergeCells>
  <conditionalFormatting sqref="B26">
    <cfRule type="notContainsBlanks" dxfId="54" priority="1">
      <formula>LEN(TRIM(B26))&gt;0</formula>
    </cfRule>
  </conditionalFormatting>
  <hyperlinks>
    <hyperlink ref="B12" r:id="rId1" xr:uid="{01DAF602-1BCA-4693-8866-0827F6B8824A}"/>
  </hyperlinks>
  <printOptions horizontalCentered="1" verticalCentered="1"/>
  <pageMargins left="0.13" right="7.0000000000000007E-2" top="0.19685039370078741" bottom="0.19685039370078741" header="0.31496062992125984" footer="0.31496062992125984"/>
  <pageSetup paperSize="9" scale="92"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FC0342-43F4-429B-AAD4-831D315FAFBE}">
  <sheetPr codeName="Sheet4">
    <tabColor theme="9" tint="-0.499984740745262"/>
    <outlinePr summaryBelow="0" summaryRight="0"/>
    <pageSetUpPr fitToPage="1"/>
  </sheetPr>
  <dimension ref="A1:K58"/>
  <sheetViews>
    <sheetView showGridLines="0" zoomScale="130" zoomScaleNormal="130" workbookViewId="0">
      <selection activeCell="C30" sqref="C30:D30"/>
    </sheetView>
  </sheetViews>
  <sheetFormatPr defaultColWidth="14.42578125" defaultRowHeight="15.75" customHeight="1" x14ac:dyDescent="0.2"/>
  <cols>
    <col min="1" max="1" width="2.85546875" style="55" customWidth="1"/>
    <col min="2" max="3" width="14.42578125" style="55"/>
    <col min="4" max="4" width="18.140625" style="55" customWidth="1"/>
    <col min="5" max="5" width="18.140625" style="55" bestFit="1" customWidth="1"/>
    <col min="6" max="6" width="15.140625" style="55" customWidth="1"/>
    <col min="7" max="7" width="9.7109375" style="55" customWidth="1"/>
    <col min="8" max="8" width="13.7109375" style="55" bestFit="1" customWidth="1"/>
    <col min="9" max="9" width="3.28515625" style="55" customWidth="1"/>
    <col min="10" max="16384" width="14.42578125" style="55"/>
  </cols>
  <sheetData>
    <row r="1" spans="1:10" ht="39" customHeight="1" x14ac:dyDescent="0.2">
      <c r="A1" s="54"/>
      <c r="B1" s="54"/>
      <c r="C1" s="54"/>
      <c r="D1" s="54"/>
      <c r="E1" s="54"/>
      <c r="F1" s="54"/>
      <c r="G1" s="54"/>
      <c r="H1" s="54"/>
      <c r="I1" s="54"/>
    </row>
    <row r="2" spans="1:10" x14ac:dyDescent="0.25">
      <c r="A2" s="54"/>
      <c r="B2" s="56"/>
      <c r="C2" s="56"/>
      <c r="D2" s="56"/>
      <c r="E2" s="57"/>
      <c r="F2" s="57"/>
      <c r="G2" s="57"/>
      <c r="H2" s="57"/>
      <c r="I2" s="56"/>
    </row>
    <row r="3" spans="1:10" ht="12.75" x14ac:dyDescent="0.2">
      <c r="A3" s="54"/>
      <c r="B3" s="56"/>
      <c r="C3" s="56"/>
      <c r="D3" s="56"/>
      <c r="E3" s="273"/>
      <c r="F3" s="274"/>
      <c r="G3" s="274"/>
      <c r="H3" s="274"/>
      <c r="I3" s="56"/>
    </row>
    <row r="4" spans="1:10" ht="12.75" x14ac:dyDescent="0.2">
      <c r="A4" s="54"/>
      <c r="B4" s="275" t="s">
        <v>83</v>
      </c>
      <c r="C4" s="276"/>
      <c r="D4" s="276"/>
      <c r="E4" s="277"/>
      <c r="F4" s="274"/>
      <c r="G4" s="274"/>
      <c r="H4" s="274"/>
      <c r="I4" s="56"/>
    </row>
    <row r="5" spans="1:10" ht="12.75" x14ac:dyDescent="0.2">
      <c r="A5" s="54"/>
      <c r="B5" s="276"/>
      <c r="C5" s="276"/>
      <c r="D5" s="276"/>
      <c r="E5" s="277"/>
      <c r="F5" s="274"/>
      <c r="G5" s="274"/>
      <c r="H5" s="274"/>
      <c r="I5" s="56"/>
    </row>
    <row r="6" spans="1:10" ht="12.75" x14ac:dyDescent="0.2">
      <c r="A6" s="54"/>
      <c r="B6" s="276"/>
      <c r="C6" s="276"/>
      <c r="D6" s="276"/>
      <c r="E6" s="277"/>
      <c r="F6" s="274"/>
      <c r="G6" s="274"/>
      <c r="H6" s="274"/>
      <c r="I6" s="56"/>
    </row>
    <row r="7" spans="1:10" ht="36.75" customHeight="1" x14ac:dyDescent="0.2">
      <c r="A7" s="54"/>
      <c r="B7" s="54"/>
      <c r="C7" s="54"/>
      <c r="D7" s="54"/>
      <c r="E7" s="54"/>
      <c r="F7" s="54"/>
      <c r="G7" s="54"/>
      <c r="H7" s="54"/>
      <c r="I7" s="54"/>
    </row>
    <row r="8" spans="1:10" ht="21.75" customHeight="1" x14ac:dyDescent="0.2">
      <c r="A8" s="58"/>
      <c r="B8" s="58"/>
      <c r="C8" s="58"/>
      <c r="D8" s="58"/>
      <c r="E8" s="58"/>
      <c r="F8" s="58"/>
      <c r="G8" s="58"/>
      <c r="H8" s="58"/>
      <c r="I8" s="58"/>
      <c r="J8" s="59"/>
    </row>
    <row r="9" spans="1:10" ht="15.75" customHeight="1" x14ac:dyDescent="0.2">
      <c r="B9" s="278"/>
      <c r="C9" s="278"/>
      <c r="D9" s="278"/>
      <c r="E9" s="278"/>
      <c r="F9" s="278"/>
      <c r="G9" s="278"/>
      <c r="H9" s="278"/>
    </row>
    <row r="10" spans="1:10" ht="15" customHeight="1" x14ac:dyDescent="0.2">
      <c r="A10" s="98"/>
      <c r="B10" s="60" t="s">
        <v>84</v>
      </c>
      <c r="G10" s="60"/>
      <c r="H10" s="61" t="s">
        <v>85</v>
      </c>
      <c r="J10" s="55" t="s">
        <v>276</v>
      </c>
    </row>
    <row r="11" spans="1:10" ht="14.25" x14ac:dyDescent="0.2">
      <c r="A11" s="98"/>
      <c r="B11" s="62" t="s">
        <v>86</v>
      </c>
      <c r="G11" s="62"/>
      <c r="H11" s="63" t="str">
        <f>"EG"&amp;J11</f>
        <v>EG59</v>
      </c>
      <c r="J11" s="55">
        <v>59</v>
      </c>
    </row>
    <row r="12" spans="1:10" ht="15" x14ac:dyDescent="0.2">
      <c r="A12" s="98"/>
      <c r="B12" s="62" t="s">
        <v>87</v>
      </c>
      <c r="G12" s="60"/>
      <c r="H12" s="61" t="s">
        <v>88</v>
      </c>
      <c r="J12" s="55">
        <v>7</v>
      </c>
    </row>
    <row r="13" spans="1:10" ht="14.25" x14ac:dyDescent="0.2">
      <c r="A13" s="98"/>
      <c r="B13" s="62"/>
      <c r="F13" s="107"/>
      <c r="G13" s="64"/>
      <c r="H13" s="65">
        <v>44950</v>
      </c>
    </row>
    <row r="14" spans="1:10" ht="15" x14ac:dyDescent="0.2">
      <c r="A14" s="98"/>
      <c r="G14" s="60"/>
      <c r="H14" s="61" t="s">
        <v>89</v>
      </c>
    </row>
    <row r="15" spans="1:10" ht="14.25" x14ac:dyDescent="0.2">
      <c r="A15" s="98"/>
      <c r="G15" s="64"/>
      <c r="H15" s="65">
        <f>H13+J12</f>
        <v>44957</v>
      </c>
    </row>
    <row r="16" spans="1:10" ht="14.25" x14ac:dyDescent="0.2">
      <c r="A16" s="98"/>
      <c r="B16" s="62"/>
      <c r="G16" s="65"/>
      <c r="H16" s="65"/>
    </row>
    <row r="17" spans="1:11" ht="14.25" x14ac:dyDescent="0.2">
      <c r="A17" s="98"/>
      <c r="F17" s="65"/>
      <c r="G17" s="65"/>
      <c r="H17" s="66"/>
    </row>
    <row r="18" spans="1:11" ht="22.5" customHeight="1" x14ac:dyDescent="0.2">
      <c r="A18" s="98"/>
      <c r="B18" s="279" t="s">
        <v>90</v>
      </c>
      <c r="C18" s="280"/>
      <c r="D18" s="280"/>
      <c r="E18" s="280"/>
      <c r="F18" s="65"/>
      <c r="G18" s="65"/>
      <c r="H18" s="66"/>
    </row>
    <row r="19" spans="1:11" ht="15" x14ac:dyDescent="0.2">
      <c r="A19" s="98"/>
      <c r="B19" s="295" t="s">
        <v>131</v>
      </c>
      <c r="C19" s="296"/>
      <c r="D19" s="296"/>
      <c r="E19" s="296"/>
      <c r="F19" s="65"/>
      <c r="G19" s="65"/>
      <c r="H19" s="66"/>
    </row>
    <row r="20" spans="1:11" ht="14.25" x14ac:dyDescent="0.2">
      <c r="A20" s="98"/>
      <c r="B20" s="297" t="s">
        <v>132</v>
      </c>
      <c r="C20" s="296"/>
      <c r="D20" s="296"/>
      <c r="E20" s="296"/>
      <c r="F20" s="65"/>
      <c r="G20" s="65"/>
      <c r="H20" s="66"/>
    </row>
    <row r="21" spans="1:11" ht="15" x14ac:dyDescent="0.2">
      <c r="A21" s="98"/>
      <c r="B21" s="114"/>
      <c r="C21" s="67"/>
      <c r="D21" s="67"/>
      <c r="E21" s="67"/>
      <c r="F21" s="65"/>
      <c r="G21" s="65"/>
      <c r="H21" s="66"/>
      <c r="K21" s="115" t="s">
        <v>133</v>
      </c>
    </row>
    <row r="22" spans="1:11" ht="14.25" x14ac:dyDescent="0.2">
      <c r="A22" s="98"/>
      <c r="B22" s="62"/>
      <c r="C22" s="67"/>
      <c r="D22" s="67"/>
      <c r="E22" s="67"/>
      <c r="F22" s="65"/>
      <c r="G22" s="65"/>
      <c r="H22" s="66"/>
      <c r="K22" s="116" t="s">
        <v>134</v>
      </c>
    </row>
    <row r="23" spans="1:11" ht="22.5" customHeight="1" x14ac:dyDescent="0.2">
      <c r="A23" s="98"/>
      <c r="B23" s="282"/>
      <c r="C23" s="280"/>
      <c r="D23" s="280"/>
      <c r="E23" s="280"/>
      <c r="F23" s="67"/>
      <c r="G23" s="67"/>
      <c r="H23" s="67"/>
    </row>
    <row r="24" spans="1:11" ht="27.75" customHeight="1" x14ac:dyDescent="0.2">
      <c r="B24" s="280"/>
      <c r="C24" s="280"/>
      <c r="D24" s="280"/>
      <c r="E24" s="280"/>
      <c r="F24" s="280"/>
      <c r="G24" s="280"/>
      <c r="H24" s="280"/>
    </row>
    <row r="25" spans="1:11" ht="27.75" customHeight="1" x14ac:dyDescent="0.2">
      <c r="B25" s="67"/>
      <c r="C25" s="67"/>
      <c r="D25" s="67"/>
      <c r="E25" s="67"/>
      <c r="F25" s="67"/>
      <c r="G25" s="67"/>
      <c r="H25" s="67"/>
    </row>
    <row r="26" spans="1:11" ht="15.75" customHeight="1" x14ac:dyDescent="0.2">
      <c r="B26" s="67"/>
      <c r="C26" s="67"/>
      <c r="D26" s="67"/>
      <c r="E26" s="67"/>
      <c r="F26" s="67"/>
      <c r="G26" s="67"/>
      <c r="H26" s="67"/>
    </row>
    <row r="27" spans="1:11" ht="15" x14ac:dyDescent="0.25">
      <c r="B27" s="68" t="s">
        <v>88</v>
      </c>
      <c r="C27" s="272" t="s">
        <v>92</v>
      </c>
      <c r="D27" s="272"/>
      <c r="E27" s="70" t="s">
        <v>110</v>
      </c>
      <c r="F27" s="70" t="s">
        <v>111</v>
      </c>
      <c r="G27" s="70" t="s">
        <v>18</v>
      </c>
      <c r="H27" s="70" t="s">
        <v>95</v>
      </c>
    </row>
    <row r="28" spans="1:11" ht="31.5" customHeight="1" x14ac:dyDescent="0.2">
      <c r="B28" s="71">
        <v>44949</v>
      </c>
      <c r="C28" s="293" t="s">
        <v>117</v>
      </c>
      <c r="D28" s="294"/>
      <c r="E28" s="99">
        <v>39</v>
      </c>
      <c r="F28" s="100">
        <v>2</v>
      </c>
      <c r="G28" s="101">
        <v>0.1</v>
      </c>
      <c r="H28" s="99">
        <f>E28*F28</f>
        <v>78</v>
      </c>
    </row>
    <row r="29" spans="1:11" ht="19.5" customHeight="1" x14ac:dyDescent="0.2">
      <c r="B29" s="102"/>
      <c r="C29" s="286"/>
      <c r="D29" s="287"/>
      <c r="E29" s="77"/>
      <c r="F29" s="103"/>
      <c r="G29" s="103"/>
      <c r="H29" s="77"/>
    </row>
    <row r="30" spans="1:11" ht="30" customHeight="1" x14ac:dyDescent="0.2">
      <c r="B30" s="72"/>
      <c r="C30" s="290"/>
      <c r="D30" s="280"/>
      <c r="E30" s="63"/>
      <c r="F30" s="79"/>
      <c r="G30" s="79" t="s">
        <v>97</v>
      </c>
      <c r="H30" s="80">
        <f>SUM(H28:H29)</f>
        <v>78</v>
      </c>
    </row>
    <row r="31" spans="1:11" ht="30" customHeight="1" x14ac:dyDescent="0.2">
      <c r="B31" s="72"/>
      <c r="C31" s="72"/>
      <c r="D31" s="67"/>
      <c r="E31" s="63"/>
      <c r="F31" s="79"/>
      <c r="G31" s="79" t="s">
        <v>113</v>
      </c>
      <c r="H31" s="80">
        <f>G28*H30</f>
        <v>7.8000000000000007</v>
      </c>
    </row>
    <row r="32" spans="1:11" ht="30" customHeight="1" x14ac:dyDescent="0.2">
      <c r="B32" s="72"/>
      <c r="C32" s="290"/>
      <c r="D32" s="280"/>
      <c r="E32" s="63"/>
      <c r="F32" s="81"/>
      <c r="G32" s="81" t="s">
        <v>99</v>
      </c>
      <c r="H32" s="82">
        <v>0</v>
      </c>
    </row>
    <row r="33" spans="1:9" ht="30" customHeight="1" x14ac:dyDescent="0.25">
      <c r="B33" s="83"/>
      <c r="C33" s="291"/>
      <c r="D33" s="278"/>
      <c r="E33" s="84"/>
      <c r="F33" s="85"/>
      <c r="G33" s="85" t="s">
        <v>100</v>
      </c>
      <c r="H33" s="86">
        <f>SUM(H30:H32)</f>
        <v>85.8</v>
      </c>
    </row>
    <row r="34" spans="1:9" ht="30" customHeight="1" x14ac:dyDescent="0.25">
      <c r="B34" s="83"/>
      <c r="C34" s="83"/>
      <c r="E34" s="84"/>
      <c r="F34" s="85"/>
      <c r="G34" s="85"/>
      <c r="H34" s="87"/>
    </row>
    <row r="35" spans="1:9" ht="30" customHeight="1" x14ac:dyDescent="0.25">
      <c r="B35" s="83"/>
      <c r="C35" s="83"/>
      <c r="E35" s="84"/>
      <c r="F35" s="85"/>
      <c r="G35" s="85"/>
      <c r="H35" s="86"/>
    </row>
    <row r="36" spans="1:9" ht="30" customHeight="1" x14ac:dyDescent="0.25">
      <c r="B36" s="83"/>
      <c r="C36" s="83"/>
      <c r="E36" s="84"/>
      <c r="F36" s="85"/>
      <c r="G36" s="85"/>
      <c r="H36" s="86"/>
    </row>
    <row r="37" spans="1:9" ht="30" customHeight="1" x14ac:dyDescent="0.25">
      <c r="B37" s="83"/>
      <c r="C37" s="83"/>
      <c r="E37" s="84"/>
      <c r="F37" s="85"/>
      <c r="G37" s="85"/>
      <c r="H37" s="86"/>
    </row>
    <row r="38" spans="1:9" ht="30" customHeight="1" x14ac:dyDescent="0.25">
      <c r="B38" s="83"/>
      <c r="C38" s="83"/>
      <c r="E38" s="84"/>
      <c r="F38" s="85"/>
      <c r="G38" s="85"/>
      <c r="H38" s="86"/>
    </row>
    <row r="39" spans="1:9" ht="30" customHeight="1" x14ac:dyDescent="0.25">
      <c r="B39" s="83"/>
      <c r="C39" s="83"/>
      <c r="E39" s="84"/>
      <c r="F39" s="85"/>
      <c r="G39" s="85"/>
      <c r="H39" s="86"/>
    </row>
    <row r="40" spans="1:9" ht="30" customHeight="1" x14ac:dyDescent="0.2">
      <c r="B40" s="83"/>
      <c r="C40" s="88"/>
      <c r="D40" s="292" t="s">
        <v>101</v>
      </c>
      <c r="E40" s="292"/>
      <c r="F40" s="292"/>
      <c r="G40" s="89"/>
      <c r="H40" s="90"/>
    </row>
    <row r="41" spans="1:9" ht="12.75" customHeight="1" x14ac:dyDescent="0.2"/>
    <row r="42" spans="1:9" ht="12.75" x14ac:dyDescent="0.2">
      <c r="A42" s="92"/>
      <c r="B42" s="91" t="s">
        <v>102</v>
      </c>
      <c r="C42" s="92"/>
      <c r="D42" s="92"/>
      <c r="E42" s="104"/>
      <c r="F42" s="95"/>
      <c r="G42" s="95"/>
      <c r="H42" s="105" t="s">
        <v>103</v>
      </c>
      <c r="I42" s="106"/>
    </row>
    <row r="43" spans="1:9" ht="14.25" customHeight="1" x14ac:dyDescent="0.2">
      <c r="A43" s="92"/>
      <c r="B43" s="94" t="s">
        <v>104</v>
      </c>
      <c r="C43" s="53"/>
      <c r="D43" s="53"/>
      <c r="E43" s="104"/>
      <c r="F43" s="104"/>
      <c r="G43" s="283">
        <f>H33</f>
        <v>85.8</v>
      </c>
      <c r="H43" s="283"/>
      <c r="I43" s="298"/>
    </row>
    <row r="44" spans="1:9" ht="14.25" x14ac:dyDescent="0.2">
      <c r="A44" s="53"/>
      <c r="B44" s="94" t="s">
        <v>106</v>
      </c>
      <c r="C44" s="53"/>
      <c r="D44" s="53"/>
      <c r="E44" s="104"/>
      <c r="F44" s="104"/>
      <c r="G44" s="283"/>
      <c r="H44" s="283"/>
      <c r="I44" s="298"/>
    </row>
    <row r="45" spans="1:9" ht="14.25" x14ac:dyDescent="0.2">
      <c r="A45" s="53"/>
      <c r="B45" s="94" t="s">
        <v>107</v>
      </c>
      <c r="C45" s="53"/>
      <c r="D45" s="53"/>
      <c r="E45" s="95"/>
      <c r="F45" s="95"/>
      <c r="G45" s="95"/>
      <c r="H45" s="95"/>
      <c r="I45" s="95"/>
    </row>
    <row r="46" spans="1:9" ht="14.25" x14ac:dyDescent="0.2">
      <c r="A46" s="53"/>
      <c r="B46" s="94" t="s">
        <v>114</v>
      </c>
      <c r="C46" s="96"/>
      <c r="D46" s="96"/>
      <c r="E46" s="97"/>
      <c r="F46" s="97"/>
      <c r="G46" s="97"/>
      <c r="H46" s="97"/>
      <c r="I46" s="95"/>
    </row>
    <row r="47" spans="1:9" ht="53.25" customHeight="1" x14ac:dyDescent="0.2">
      <c r="B47" s="284"/>
      <c r="C47" s="278"/>
      <c r="D47" s="278"/>
      <c r="E47" s="278"/>
      <c r="F47" s="278"/>
      <c r="G47" s="278"/>
      <c r="H47" s="278"/>
    </row>
    <row r="51" spans="6:7" ht="15.75" customHeight="1" x14ac:dyDescent="0.2">
      <c r="F51" s="62"/>
      <c r="G51" s="62"/>
    </row>
    <row r="52" spans="6:7" ht="15.75" customHeight="1" x14ac:dyDescent="0.2">
      <c r="F52" s="62"/>
      <c r="G52" s="62"/>
    </row>
    <row r="53" spans="6:7" ht="15.75" customHeight="1" x14ac:dyDescent="0.2">
      <c r="F53" s="62"/>
      <c r="G53" s="62"/>
    </row>
    <row r="56" spans="6:7" ht="15.75" customHeight="1" x14ac:dyDescent="0.2">
      <c r="F56" s="62"/>
      <c r="G56" s="62"/>
    </row>
    <row r="58" spans="6:7" ht="15.75" customHeight="1" x14ac:dyDescent="0.2">
      <c r="F58" s="62"/>
      <c r="G58" s="62"/>
    </row>
  </sheetData>
  <mergeCells count="21">
    <mergeCell ref="G43:H44"/>
    <mergeCell ref="I43:I44"/>
    <mergeCell ref="B47:H47"/>
    <mergeCell ref="C28:D28"/>
    <mergeCell ref="C29:D29"/>
    <mergeCell ref="C30:D30"/>
    <mergeCell ref="C32:D32"/>
    <mergeCell ref="C33:D33"/>
    <mergeCell ref="D40:F40"/>
    <mergeCell ref="C27:D27"/>
    <mergeCell ref="E3:H3"/>
    <mergeCell ref="B4:D6"/>
    <mergeCell ref="E4:H4"/>
    <mergeCell ref="E5:H5"/>
    <mergeCell ref="E6:H6"/>
    <mergeCell ref="B9:H9"/>
    <mergeCell ref="B18:E18"/>
    <mergeCell ref="B19:E19"/>
    <mergeCell ref="B20:E20"/>
    <mergeCell ref="B23:E23"/>
    <mergeCell ref="B24:H24"/>
  </mergeCells>
  <conditionalFormatting sqref="B26">
    <cfRule type="notContainsBlanks" dxfId="53" priority="1">
      <formula>LEN(TRIM(B26))&gt;0</formula>
    </cfRule>
  </conditionalFormatting>
  <hyperlinks>
    <hyperlink ref="B12" r:id="rId1" xr:uid="{50F8F22B-7096-4D22-84F8-E57DCCAD7ABC}"/>
    <hyperlink ref="K22" r:id="rId2" xr:uid="{EE4C5AAF-D7F1-415F-9A49-E9A6AB36E2C3}"/>
  </hyperlinks>
  <printOptions horizontalCentered="1" verticalCentered="1"/>
  <pageMargins left="0.13" right="7.0000000000000007E-2" top="0.19685039370078741" bottom="0.19685039370078741" header="0.31496062992125984" footer="0.31496062992125984"/>
  <pageSetup paperSize="9" scale="88" orientation="portrait" r:id="rId3"/>
  <drawing r:id="rId4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182EDE-7B23-45D2-B7EC-C67555CA2699}">
  <sheetPr codeName="Sheet5">
    <tabColor theme="9" tint="-0.499984740745262"/>
    <outlinePr summaryBelow="0" summaryRight="0"/>
    <pageSetUpPr fitToPage="1"/>
  </sheetPr>
  <dimension ref="A1:J59"/>
  <sheetViews>
    <sheetView showGridLines="0" topLeftCell="A22" zoomScale="130" zoomScaleNormal="130" workbookViewId="0">
      <selection activeCell="E28" sqref="E28"/>
    </sheetView>
  </sheetViews>
  <sheetFormatPr defaultColWidth="14.42578125" defaultRowHeight="15.75" customHeight="1" x14ac:dyDescent="0.2"/>
  <cols>
    <col min="1" max="1" width="5.42578125" style="55" customWidth="1"/>
    <col min="2" max="3" width="14.42578125" style="55"/>
    <col min="4" max="4" width="23.140625" style="55" customWidth="1"/>
    <col min="5" max="5" width="18.140625" style="55" bestFit="1" customWidth="1"/>
    <col min="6" max="6" width="16.42578125" style="55" customWidth="1"/>
    <col min="7" max="7" width="12.7109375" style="55" customWidth="1"/>
    <col min="8" max="8" width="17" style="55" bestFit="1" customWidth="1"/>
    <col min="9" max="9" width="3.85546875" style="55" customWidth="1"/>
    <col min="10" max="16384" width="14.42578125" style="55"/>
  </cols>
  <sheetData>
    <row r="1" spans="1:10" ht="39" customHeight="1" x14ac:dyDescent="0.2">
      <c r="A1" s="54"/>
      <c r="B1" s="54"/>
      <c r="C1" s="54"/>
      <c r="D1" s="54"/>
      <c r="E1" s="54"/>
      <c r="F1" s="54"/>
      <c r="G1" s="54"/>
      <c r="H1" s="54"/>
      <c r="I1" s="54"/>
    </row>
    <row r="2" spans="1:10" x14ac:dyDescent="0.25">
      <c r="A2" s="54"/>
      <c r="B2" s="56"/>
      <c r="C2" s="56"/>
      <c r="D2" s="56"/>
      <c r="E2" s="57"/>
      <c r="F2" s="57"/>
      <c r="G2" s="57"/>
      <c r="H2" s="57"/>
      <c r="I2" s="56"/>
    </row>
    <row r="3" spans="1:10" ht="12.75" x14ac:dyDescent="0.2">
      <c r="A3" s="54"/>
      <c r="B3" s="56"/>
      <c r="C3" s="56"/>
      <c r="D3" s="56"/>
      <c r="E3" s="273"/>
      <c r="F3" s="274"/>
      <c r="G3" s="274"/>
      <c r="H3" s="274"/>
      <c r="I3" s="56"/>
    </row>
    <row r="4" spans="1:10" ht="12.75" x14ac:dyDescent="0.2">
      <c r="A4" s="54"/>
      <c r="B4" s="275" t="s">
        <v>83</v>
      </c>
      <c r="C4" s="276"/>
      <c r="D4" s="276"/>
      <c r="E4" s="277"/>
      <c r="F4" s="274"/>
      <c r="G4" s="274"/>
      <c r="H4" s="274"/>
      <c r="I4" s="56"/>
    </row>
    <row r="5" spans="1:10" ht="12.75" x14ac:dyDescent="0.2">
      <c r="A5" s="54"/>
      <c r="B5" s="276"/>
      <c r="C5" s="276"/>
      <c r="D5" s="276"/>
      <c r="E5" s="277"/>
      <c r="F5" s="274"/>
      <c r="G5" s="274"/>
      <c r="H5" s="274"/>
      <c r="I5" s="56"/>
    </row>
    <row r="6" spans="1:10" ht="12.75" x14ac:dyDescent="0.2">
      <c r="A6" s="54"/>
      <c r="B6" s="276"/>
      <c r="C6" s="276"/>
      <c r="D6" s="276"/>
      <c r="E6" s="277"/>
      <c r="F6" s="274"/>
      <c r="G6" s="274"/>
      <c r="H6" s="274"/>
      <c r="I6" s="56"/>
    </row>
    <row r="7" spans="1:10" ht="36.75" customHeight="1" x14ac:dyDescent="0.2">
      <c r="A7" s="54"/>
      <c r="B7" s="54"/>
      <c r="C7" s="54"/>
      <c r="D7" s="54"/>
      <c r="E7" s="54"/>
      <c r="F7" s="54"/>
      <c r="G7" s="54"/>
      <c r="H7" s="54"/>
      <c r="I7" s="54"/>
    </row>
    <row r="8" spans="1:10" ht="21.75" customHeight="1" x14ac:dyDescent="0.2">
      <c r="A8" s="58"/>
      <c r="B8" s="58"/>
      <c r="C8" s="58"/>
      <c r="D8" s="58"/>
      <c r="E8" s="58"/>
      <c r="F8" s="58"/>
      <c r="G8" s="58"/>
      <c r="H8" s="58"/>
      <c r="I8" s="58"/>
      <c r="J8" s="59"/>
    </row>
    <row r="9" spans="1:10" ht="15.75" customHeight="1" x14ac:dyDescent="0.2">
      <c r="B9" s="278"/>
      <c r="C9" s="278"/>
      <c r="D9" s="278"/>
      <c r="E9" s="278"/>
      <c r="F9" s="278"/>
      <c r="G9" s="278"/>
      <c r="H9" s="278"/>
    </row>
    <row r="10" spans="1:10" ht="15" customHeight="1" x14ac:dyDescent="0.2">
      <c r="A10" s="98"/>
      <c r="B10" s="60" t="s">
        <v>84</v>
      </c>
      <c r="G10" s="60"/>
      <c r="H10" s="61" t="s">
        <v>85</v>
      </c>
      <c r="J10" s="165" t="s">
        <v>277</v>
      </c>
    </row>
    <row r="11" spans="1:10" ht="14.25" x14ac:dyDescent="0.2">
      <c r="A11" s="98"/>
      <c r="B11" s="62" t="s">
        <v>86</v>
      </c>
      <c r="G11" s="62"/>
      <c r="H11" s="63" t="str">
        <f>"OW"&amp;J11</f>
        <v>OW12</v>
      </c>
      <c r="J11" s="55">
        <v>12</v>
      </c>
    </row>
    <row r="12" spans="1:10" ht="15" x14ac:dyDescent="0.2">
      <c r="A12" s="98"/>
      <c r="B12" s="62" t="s">
        <v>87</v>
      </c>
      <c r="G12" s="60"/>
      <c r="H12" s="61" t="s">
        <v>88</v>
      </c>
      <c r="J12" s="55">
        <v>7</v>
      </c>
    </row>
    <row r="13" spans="1:10" ht="14.25" x14ac:dyDescent="0.2">
      <c r="A13" s="98"/>
      <c r="B13" s="62"/>
      <c r="F13" s="107"/>
      <c r="G13" s="64"/>
      <c r="H13" s="65">
        <v>44950</v>
      </c>
    </row>
    <row r="14" spans="1:10" ht="15" x14ac:dyDescent="0.2">
      <c r="A14" s="98"/>
      <c r="G14" s="60"/>
      <c r="H14" s="61" t="s">
        <v>89</v>
      </c>
    </row>
    <row r="15" spans="1:10" ht="14.25" x14ac:dyDescent="0.2">
      <c r="A15" s="98"/>
      <c r="G15" s="64"/>
      <c r="H15" s="65">
        <f>H13+J12</f>
        <v>44957</v>
      </c>
    </row>
    <row r="16" spans="1:10" ht="14.25" x14ac:dyDescent="0.2">
      <c r="A16" s="98"/>
      <c r="B16" s="62"/>
      <c r="F16" s="65"/>
      <c r="G16" s="65"/>
      <c r="H16" s="65"/>
    </row>
    <row r="17" spans="1:8" ht="14.25" x14ac:dyDescent="0.2">
      <c r="A17" s="98"/>
      <c r="F17" s="65"/>
      <c r="G17" s="65"/>
      <c r="H17" s="66"/>
    </row>
    <row r="18" spans="1:8" ht="22.5" customHeight="1" x14ac:dyDescent="0.2">
      <c r="A18" s="98"/>
      <c r="B18" s="279" t="s">
        <v>90</v>
      </c>
      <c r="C18" s="280"/>
      <c r="D18" s="280"/>
      <c r="E18" s="280"/>
      <c r="F18" s="65"/>
      <c r="G18" s="65"/>
      <c r="H18" s="66"/>
    </row>
    <row r="19" spans="1:8" ht="15" x14ac:dyDescent="0.2">
      <c r="A19" s="98"/>
      <c r="B19" s="279" t="s">
        <v>52</v>
      </c>
      <c r="C19" s="280"/>
      <c r="D19" s="280"/>
      <c r="E19" s="280"/>
      <c r="F19" s="65"/>
      <c r="G19" s="65"/>
      <c r="H19" s="66"/>
    </row>
    <row r="20" spans="1:8" ht="14.25" x14ac:dyDescent="0.2">
      <c r="A20" s="98"/>
      <c r="B20" s="281" t="s">
        <v>135</v>
      </c>
      <c r="C20" s="280"/>
      <c r="D20" s="280"/>
      <c r="E20" s="280"/>
      <c r="F20" s="65"/>
      <c r="G20" s="65"/>
      <c r="H20" s="66"/>
    </row>
    <row r="21" spans="1:8" ht="14.25" x14ac:dyDescent="0.2">
      <c r="A21" s="98"/>
      <c r="B21" s="62" t="s">
        <v>136</v>
      </c>
      <c r="C21" s="67"/>
      <c r="D21" s="67"/>
      <c r="E21" s="67"/>
      <c r="F21" s="65"/>
      <c r="G21" s="65"/>
      <c r="H21" s="66"/>
    </row>
    <row r="22" spans="1:8" ht="14.25" x14ac:dyDescent="0.2">
      <c r="A22" s="98"/>
      <c r="B22" s="62"/>
      <c r="C22" s="67"/>
      <c r="D22" s="67"/>
      <c r="E22" s="67"/>
      <c r="F22" s="65"/>
      <c r="G22" s="65"/>
      <c r="H22" s="66"/>
    </row>
    <row r="23" spans="1:8" ht="22.5" customHeight="1" x14ac:dyDescent="0.2">
      <c r="A23" s="98"/>
      <c r="B23" s="282"/>
      <c r="C23" s="280"/>
      <c r="D23" s="280"/>
      <c r="E23" s="280"/>
      <c r="F23" s="67"/>
      <c r="G23" s="67"/>
      <c r="H23" s="67"/>
    </row>
    <row r="24" spans="1:8" ht="27.75" customHeight="1" x14ac:dyDescent="0.2">
      <c r="B24" s="280"/>
      <c r="C24" s="280"/>
      <c r="D24" s="280"/>
      <c r="E24" s="280"/>
      <c r="F24" s="280"/>
      <c r="G24" s="280"/>
      <c r="H24" s="280"/>
    </row>
    <row r="25" spans="1:8" ht="27.75" customHeight="1" x14ac:dyDescent="0.2">
      <c r="B25" s="67"/>
      <c r="C25" s="67"/>
      <c r="D25" s="67"/>
      <c r="E25" s="67"/>
      <c r="F25" s="67"/>
      <c r="G25" s="67"/>
      <c r="H25" s="67"/>
    </row>
    <row r="26" spans="1:8" ht="15.75" customHeight="1" x14ac:dyDescent="0.2">
      <c r="B26" s="67"/>
      <c r="C26" s="67"/>
      <c r="D26" s="67"/>
      <c r="E26" s="67"/>
      <c r="F26" s="67"/>
      <c r="G26" s="67"/>
      <c r="H26" s="67"/>
    </row>
    <row r="27" spans="1:8" ht="15" x14ac:dyDescent="0.25">
      <c r="B27" s="68" t="s">
        <v>88</v>
      </c>
      <c r="C27" s="272" t="s">
        <v>92</v>
      </c>
      <c r="D27" s="272"/>
      <c r="E27" s="70" t="s">
        <v>93</v>
      </c>
      <c r="F27" s="70" t="s">
        <v>94</v>
      </c>
      <c r="G27" s="70" t="s">
        <v>18</v>
      </c>
      <c r="H27" s="70" t="s">
        <v>121</v>
      </c>
    </row>
    <row r="28" spans="1:8" ht="35.25" customHeight="1" x14ac:dyDescent="0.2">
      <c r="B28" s="71">
        <v>44949</v>
      </c>
      <c r="C28" s="293" t="s">
        <v>137</v>
      </c>
      <c r="D28" s="299"/>
      <c r="E28" s="117">
        <v>40</v>
      </c>
      <c r="F28" s="118">
        <v>2</v>
      </c>
      <c r="G28" s="119">
        <v>0.1</v>
      </c>
      <c r="H28" s="117">
        <f>E28*F28</f>
        <v>80</v>
      </c>
    </row>
    <row r="29" spans="1:8" ht="15.75" customHeight="1" x14ac:dyDescent="0.2">
      <c r="B29" s="76"/>
      <c r="C29" s="286"/>
      <c r="D29" s="287"/>
      <c r="E29" s="109"/>
      <c r="F29" s="110"/>
      <c r="G29" s="110"/>
      <c r="H29" s="111"/>
    </row>
    <row r="30" spans="1:8" ht="30" customHeight="1" x14ac:dyDescent="0.2">
      <c r="B30" s="72"/>
      <c r="C30" s="290"/>
      <c r="D30" s="280"/>
      <c r="E30" s="63"/>
      <c r="F30" s="79" t="s">
        <v>97</v>
      </c>
      <c r="G30" s="79"/>
      <c r="H30" s="80">
        <f>SUM(H28:H29)</f>
        <v>80</v>
      </c>
    </row>
    <row r="31" spans="1:8" ht="30" customHeight="1" x14ac:dyDescent="0.2">
      <c r="B31" s="72"/>
      <c r="C31" s="72"/>
      <c r="D31" s="67"/>
      <c r="E31" s="63"/>
      <c r="F31" s="79" t="s">
        <v>125</v>
      </c>
      <c r="G31" s="79"/>
      <c r="H31" s="80">
        <f>G28*H30</f>
        <v>8</v>
      </c>
    </row>
    <row r="32" spans="1:8" ht="30" customHeight="1" x14ac:dyDescent="0.2">
      <c r="B32" s="72"/>
      <c r="C32" s="290"/>
      <c r="D32" s="280"/>
      <c r="E32" s="63"/>
      <c r="F32" s="81" t="s">
        <v>99</v>
      </c>
      <c r="G32" s="81"/>
      <c r="H32" s="82">
        <v>0</v>
      </c>
    </row>
    <row r="33" spans="1:9" ht="30" customHeight="1" x14ac:dyDescent="0.25">
      <c r="B33" s="83"/>
      <c r="C33" s="291"/>
      <c r="D33" s="278"/>
      <c r="E33" s="84"/>
      <c r="F33" s="85" t="s">
        <v>100</v>
      </c>
      <c r="G33" s="85"/>
      <c r="H33" s="86">
        <f>SUM(H30:H32)</f>
        <v>88</v>
      </c>
    </row>
    <row r="34" spans="1:9" ht="30" customHeight="1" x14ac:dyDescent="0.25">
      <c r="B34" s="83"/>
      <c r="C34" s="83"/>
      <c r="E34" s="84"/>
      <c r="F34" s="85"/>
      <c r="G34" s="85"/>
      <c r="H34" s="87"/>
    </row>
    <row r="35" spans="1:9" ht="30" customHeight="1" x14ac:dyDescent="0.25">
      <c r="B35" s="83"/>
      <c r="C35" s="83"/>
      <c r="E35" s="84"/>
      <c r="F35" s="85"/>
      <c r="G35" s="85"/>
      <c r="H35" s="86"/>
    </row>
    <row r="36" spans="1:9" ht="30" customHeight="1" x14ac:dyDescent="0.25">
      <c r="B36" s="83"/>
      <c r="C36" s="83"/>
      <c r="E36" s="84"/>
      <c r="F36" s="85"/>
      <c r="G36" s="85"/>
      <c r="H36" s="86"/>
    </row>
    <row r="37" spans="1:9" ht="30" customHeight="1" x14ac:dyDescent="0.25">
      <c r="B37" s="83"/>
      <c r="C37" s="83"/>
      <c r="E37" s="84"/>
      <c r="F37" s="85"/>
      <c r="G37" s="85"/>
      <c r="H37" s="86"/>
    </row>
    <row r="38" spans="1:9" ht="30" customHeight="1" x14ac:dyDescent="0.25">
      <c r="B38" s="83"/>
      <c r="C38" s="83"/>
      <c r="E38" s="84"/>
      <c r="F38" s="85"/>
      <c r="G38" s="85"/>
      <c r="H38" s="86"/>
    </row>
    <row r="39" spans="1:9" ht="30" customHeight="1" x14ac:dyDescent="0.25">
      <c r="B39" s="83"/>
      <c r="C39" s="83"/>
      <c r="E39" s="84"/>
      <c r="F39" s="85"/>
      <c r="G39" s="85"/>
      <c r="H39" s="86"/>
    </row>
    <row r="40" spans="1:9" ht="30" customHeight="1" x14ac:dyDescent="0.25">
      <c r="B40" s="83"/>
      <c r="C40" s="83"/>
      <c r="E40" s="84"/>
      <c r="F40" s="85"/>
      <c r="G40" s="85"/>
      <c r="H40" s="86"/>
    </row>
    <row r="41" spans="1:9" ht="30" customHeight="1" x14ac:dyDescent="0.2">
      <c r="B41" s="83"/>
      <c r="C41" s="88"/>
      <c r="D41" s="292" t="s">
        <v>101</v>
      </c>
      <c r="E41" s="292"/>
      <c r="F41" s="292"/>
      <c r="G41" s="89"/>
      <c r="H41" s="90"/>
    </row>
    <row r="42" spans="1:9" ht="12.75" customHeight="1" x14ac:dyDescent="0.2"/>
    <row r="43" spans="1:9" ht="12.75" x14ac:dyDescent="0.2">
      <c r="A43" s="92"/>
      <c r="B43" s="91" t="s">
        <v>102</v>
      </c>
      <c r="C43" s="92"/>
      <c r="D43" s="92"/>
      <c r="E43" s="120"/>
      <c r="F43" s="121"/>
      <c r="G43" s="121"/>
      <c r="H43" s="93" t="s">
        <v>103</v>
      </c>
      <c r="I43" s="122"/>
    </row>
    <row r="44" spans="1:9" ht="14.25" customHeight="1" x14ac:dyDescent="0.2">
      <c r="A44" s="92"/>
      <c r="B44" s="94" t="s">
        <v>104</v>
      </c>
      <c r="C44" s="53"/>
      <c r="D44" s="53"/>
      <c r="E44" s="120"/>
      <c r="F44" s="120"/>
      <c r="G44" s="283">
        <f>H33</f>
        <v>88</v>
      </c>
      <c r="H44" s="283"/>
      <c r="I44" s="122"/>
    </row>
    <row r="45" spans="1:9" ht="14.25" customHeight="1" x14ac:dyDescent="0.2">
      <c r="A45" s="53"/>
      <c r="B45" s="94" t="s">
        <v>106</v>
      </c>
      <c r="C45" s="53"/>
      <c r="D45" s="53"/>
      <c r="E45" s="120"/>
      <c r="F45" s="120"/>
      <c r="G45" s="283"/>
      <c r="H45" s="283"/>
      <c r="I45" s="122"/>
    </row>
    <row r="46" spans="1:9" ht="14.25" x14ac:dyDescent="0.2">
      <c r="A46" s="53"/>
      <c r="B46" s="94" t="s">
        <v>107</v>
      </c>
      <c r="C46" s="53"/>
      <c r="D46" s="53"/>
      <c r="E46" s="95"/>
      <c r="F46" s="95"/>
      <c r="G46" s="95"/>
      <c r="H46" s="95"/>
      <c r="I46" s="95"/>
    </row>
    <row r="47" spans="1:9" ht="14.25" x14ac:dyDescent="0.2">
      <c r="A47" s="53"/>
      <c r="B47" s="94" t="s">
        <v>114</v>
      </c>
      <c r="C47" s="96"/>
      <c r="D47" s="96"/>
      <c r="E47" s="97"/>
      <c r="F47" s="97"/>
      <c r="G47" s="97"/>
      <c r="H47" s="97"/>
      <c r="I47" s="95"/>
    </row>
    <row r="48" spans="1:9" ht="53.25" customHeight="1" x14ac:dyDescent="0.2">
      <c r="B48" s="284"/>
      <c r="C48" s="278"/>
      <c r="D48" s="278"/>
      <c r="E48" s="278"/>
      <c r="F48" s="278"/>
      <c r="G48" s="278"/>
      <c r="H48" s="278"/>
    </row>
    <row r="52" spans="6:7" ht="15.75" customHeight="1" x14ac:dyDescent="0.2">
      <c r="F52" s="62"/>
      <c r="G52" s="62"/>
    </row>
    <row r="53" spans="6:7" ht="15.75" customHeight="1" x14ac:dyDescent="0.2">
      <c r="F53" s="62"/>
      <c r="G53" s="62"/>
    </row>
    <row r="54" spans="6:7" ht="15.75" customHeight="1" x14ac:dyDescent="0.2">
      <c r="F54" s="62"/>
      <c r="G54" s="62"/>
    </row>
    <row r="57" spans="6:7" ht="15.75" customHeight="1" x14ac:dyDescent="0.2">
      <c r="F57" s="62"/>
      <c r="G57" s="62"/>
    </row>
    <row r="59" spans="6:7" ht="15.75" customHeight="1" x14ac:dyDescent="0.2">
      <c r="F59" s="62"/>
      <c r="G59" s="62"/>
    </row>
  </sheetData>
  <mergeCells count="20">
    <mergeCell ref="G44:H45"/>
    <mergeCell ref="B48:H48"/>
    <mergeCell ref="C28:D28"/>
    <mergeCell ref="C29:D29"/>
    <mergeCell ref="C30:D30"/>
    <mergeCell ref="C32:D32"/>
    <mergeCell ref="C33:D33"/>
    <mergeCell ref="D41:F41"/>
    <mergeCell ref="C27:D27"/>
    <mergeCell ref="E3:H3"/>
    <mergeCell ref="B4:D6"/>
    <mergeCell ref="E4:H4"/>
    <mergeCell ref="E5:H5"/>
    <mergeCell ref="E6:H6"/>
    <mergeCell ref="B9:H9"/>
    <mergeCell ref="B18:E18"/>
    <mergeCell ref="B19:E19"/>
    <mergeCell ref="B20:E20"/>
    <mergeCell ref="B23:E23"/>
    <mergeCell ref="B24:H24"/>
  </mergeCells>
  <conditionalFormatting sqref="B26">
    <cfRule type="notContainsBlanks" dxfId="52" priority="1">
      <formula>LEN(TRIM(B26))&gt;0</formula>
    </cfRule>
  </conditionalFormatting>
  <hyperlinks>
    <hyperlink ref="B12" r:id="rId1" xr:uid="{3D777CF1-B8CB-4DD8-A7CB-D410A4626D10}"/>
  </hyperlinks>
  <printOptions horizontalCentered="1" verticalCentered="1"/>
  <pageMargins left="0.11811023622047245" right="0.15748031496062992" top="0.39370078740157483" bottom="0.31496062992125984" header="0.31496062992125984" footer="0.15748031496062992"/>
  <pageSetup paperSize="9" scale="81" orientation="portrait" r:id="rId2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3851F2-990D-456F-BBF4-FCBABF1A85F5}">
  <sheetPr codeName="Sheet7">
    <tabColor theme="9" tint="-0.499984740745262"/>
    <outlinePr summaryBelow="0" summaryRight="0"/>
    <pageSetUpPr fitToPage="1"/>
  </sheetPr>
  <dimension ref="A1:M59"/>
  <sheetViews>
    <sheetView showGridLines="0" topLeftCell="A24" zoomScale="120" zoomScaleNormal="120" workbookViewId="0">
      <selection activeCell="E28" sqref="E28"/>
    </sheetView>
  </sheetViews>
  <sheetFormatPr defaultColWidth="14.42578125" defaultRowHeight="15.75" customHeight="1" x14ac:dyDescent="0.2"/>
  <cols>
    <col min="1" max="1" width="3.42578125" style="55" customWidth="1"/>
    <col min="2" max="3" width="14.42578125" style="55"/>
    <col min="4" max="4" width="26.7109375" style="55" customWidth="1"/>
    <col min="5" max="5" width="18.140625" style="55" bestFit="1" customWidth="1"/>
    <col min="6" max="6" width="16.42578125" style="55" customWidth="1"/>
    <col min="7" max="7" width="12.7109375" style="55" customWidth="1"/>
    <col min="8" max="8" width="17.42578125" style="55" customWidth="1"/>
    <col min="9" max="9" width="3.42578125" style="55" customWidth="1"/>
    <col min="10" max="16384" width="14.42578125" style="55"/>
  </cols>
  <sheetData>
    <row r="1" spans="1:10" ht="39" customHeight="1" x14ac:dyDescent="0.2">
      <c r="A1" s="53"/>
      <c r="B1" s="54"/>
      <c r="C1" s="54"/>
      <c r="D1" s="54"/>
      <c r="E1" s="54"/>
      <c r="F1" s="54"/>
      <c r="G1" s="54"/>
      <c r="H1" s="54"/>
      <c r="I1" s="54"/>
    </row>
    <row r="2" spans="1:10" x14ac:dyDescent="0.25">
      <c r="A2" s="53"/>
      <c r="B2" s="56"/>
      <c r="C2" s="56"/>
      <c r="D2" s="56"/>
      <c r="E2" s="57"/>
      <c r="F2" s="57"/>
      <c r="G2" s="57"/>
      <c r="H2" s="57"/>
      <c r="I2" s="56"/>
    </row>
    <row r="3" spans="1:10" ht="12.75" x14ac:dyDescent="0.2">
      <c r="A3" s="53"/>
      <c r="B3" s="56"/>
      <c r="C3" s="56"/>
      <c r="D3" s="56"/>
      <c r="E3" s="273"/>
      <c r="F3" s="274"/>
      <c r="G3" s="274"/>
      <c r="H3" s="274"/>
      <c r="I3" s="56"/>
    </row>
    <row r="4" spans="1:10" ht="12.75" x14ac:dyDescent="0.2">
      <c r="A4" s="53"/>
      <c r="B4" s="275" t="s">
        <v>83</v>
      </c>
      <c r="C4" s="276"/>
      <c r="D4" s="276"/>
      <c r="E4" s="277"/>
      <c r="F4" s="274"/>
      <c r="G4" s="274"/>
      <c r="H4" s="274"/>
      <c r="I4" s="56"/>
    </row>
    <row r="5" spans="1:10" ht="12.75" x14ac:dyDescent="0.2">
      <c r="A5" s="53"/>
      <c r="B5" s="276"/>
      <c r="C5" s="276"/>
      <c r="D5" s="276"/>
      <c r="E5" s="277"/>
      <c r="F5" s="274"/>
      <c r="G5" s="274"/>
      <c r="H5" s="274"/>
      <c r="I5" s="56"/>
    </row>
    <row r="6" spans="1:10" ht="12.75" x14ac:dyDescent="0.2">
      <c r="A6" s="53"/>
      <c r="B6" s="276"/>
      <c r="C6" s="276"/>
      <c r="D6" s="276"/>
      <c r="E6" s="277"/>
      <c r="F6" s="274"/>
      <c r="G6" s="274"/>
      <c r="H6" s="274"/>
      <c r="I6" s="56"/>
    </row>
    <row r="7" spans="1:10" ht="36.75" customHeight="1" x14ac:dyDescent="0.2">
      <c r="A7" s="53"/>
      <c r="B7" s="54"/>
      <c r="C7" s="54"/>
      <c r="D7" s="54"/>
      <c r="E7" s="54"/>
      <c r="F7" s="54"/>
      <c r="G7" s="54"/>
      <c r="H7" s="54"/>
      <c r="I7" s="54"/>
    </row>
    <row r="8" spans="1:10" ht="21.75" customHeight="1" x14ac:dyDescent="0.2">
      <c r="B8" s="58"/>
      <c r="C8" s="58"/>
      <c r="D8" s="58"/>
      <c r="E8" s="58"/>
      <c r="F8" s="58"/>
      <c r="G8" s="58"/>
      <c r="H8" s="58"/>
      <c r="I8" s="58"/>
      <c r="J8" s="59"/>
    </row>
    <row r="9" spans="1:10" ht="15.75" customHeight="1" x14ac:dyDescent="0.2">
      <c r="B9" s="278"/>
      <c r="C9" s="278"/>
      <c r="D9" s="278"/>
      <c r="E9" s="278"/>
      <c r="F9" s="278"/>
      <c r="G9" s="278"/>
      <c r="H9" s="278"/>
    </row>
    <row r="10" spans="1:10" ht="15" customHeight="1" x14ac:dyDescent="0.2">
      <c r="B10" s="60" t="s">
        <v>84</v>
      </c>
      <c r="G10" s="60"/>
      <c r="H10" s="61" t="s">
        <v>85</v>
      </c>
    </row>
    <row r="11" spans="1:10" ht="14.25" x14ac:dyDescent="0.2">
      <c r="B11" s="62" t="s">
        <v>86</v>
      </c>
      <c r="G11" s="62"/>
      <c r="H11" s="63" t="str">
        <f>"SB"&amp;J11</f>
        <v>SB1010</v>
      </c>
      <c r="J11" s="55">
        <v>1010</v>
      </c>
    </row>
    <row r="12" spans="1:10" ht="15" x14ac:dyDescent="0.2">
      <c r="B12" s="62" t="s">
        <v>87</v>
      </c>
      <c r="G12" s="60"/>
      <c r="H12" s="61" t="s">
        <v>88</v>
      </c>
      <c r="J12" s="55">
        <v>7</v>
      </c>
    </row>
    <row r="13" spans="1:10" ht="14.25" x14ac:dyDescent="0.2">
      <c r="B13" s="62"/>
      <c r="G13" s="64"/>
      <c r="H13" s="65">
        <v>44950</v>
      </c>
    </row>
    <row r="14" spans="1:10" ht="15" x14ac:dyDescent="0.2">
      <c r="G14" s="60"/>
      <c r="H14" s="61" t="s">
        <v>89</v>
      </c>
    </row>
    <row r="15" spans="1:10" ht="14.25" x14ac:dyDescent="0.2">
      <c r="G15" s="64"/>
      <c r="H15" s="65">
        <f>H13+J12</f>
        <v>44957</v>
      </c>
    </row>
    <row r="16" spans="1:10" ht="14.25" x14ac:dyDescent="0.2">
      <c r="B16" s="62"/>
      <c r="F16" s="65"/>
      <c r="G16" s="65"/>
      <c r="H16" s="65"/>
    </row>
    <row r="17" spans="2:13" ht="14.25" x14ac:dyDescent="0.2">
      <c r="F17" s="65"/>
      <c r="G17" s="65"/>
      <c r="H17" s="66"/>
    </row>
    <row r="18" spans="2:13" ht="22.5" customHeight="1" x14ac:dyDescent="0.2">
      <c r="B18" s="279" t="s">
        <v>90</v>
      </c>
      <c r="C18" s="280"/>
      <c r="D18" s="280"/>
      <c r="E18" s="280"/>
      <c r="F18" s="65"/>
      <c r="G18" s="65"/>
      <c r="H18" s="66"/>
    </row>
    <row r="19" spans="2:13" ht="15" x14ac:dyDescent="0.2">
      <c r="B19" s="279" t="s">
        <v>61</v>
      </c>
      <c r="C19" s="280"/>
      <c r="D19" s="280"/>
      <c r="E19" s="280"/>
      <c r="F19" s="65"/>
      <c r="G19" s="65"/>
      <c r="H19" s="66"/>
    </row>
    <row r="20" spans="2:13" ht="14.25" x14ac:dyDescent="0.2">
      <c r="B20" s="282" t="s">
        <v>138</v>
      </c>
      <c r="C20" s="280"/>
      <c r="D20" s="280"/>
      <c r="E20" s="280"/>
      <c r="F20" s="65"/>
      <c r="G20" s="65"/>
      <c r="H20" s="66"/>
    </row>
    <row r="21" spans="2:13" ht="14.25" x14ac:dyDescent="0.2">
      <c r="B21" s="62"/>
      <c r="C21" s="67"/>
      <c r="D21" s="67"/>
      <c r="E21" s="67"/>
      <c r="F21" s="65"/>
      <c r="G21" s="65"/>
      <c r="H21" s="66"/>
    </row>
    <row r="22" spans="2:13" ht="14.25" x14ac:dyDescent="0.2">
      <c r="B22" s="62"/>
      <c r="C22" s="67"/>
      <c r="D22" s="67"/>
      <c r="E22" s="67"/>
      <c r="F22" s="65"/>
      <c r="G22" s="65"/>
      <c r="H22" s="66"/>
    </row>
    <row r="23" spans="2:13" ht="22.5" customHeight="1" x14ac:dyDescent="0.2">
      <c r="B23" s="282"/>
      <c r="C23" s="280"/>
      <c r="D23" s="280"/>
      <c r="E23" s="280"/>
      <c r="F23" s="67"/>
      <c r="G23" s="67"/>
      <c r="H23" s="67"/>
    </row>
    <row r="24" spans="2:13" ht="27.75" customHeight="1" x14ac:dyDescent="0.2">
      <c r="B24" s="280"/>
      <c r="C24" s="280"/>
      <c r="D24" s="280"/>
      <c r="E24" s="280"/>
      <c r="F24" s="280"/>
      <c r="G24" s="280"/>
      <c r="H24" s="280"/>
    </row>
    <row r="25" spans="2:13" ht="27.75" customHeight="1" x14ac:dyDescent="0.2">
      <c r="B25" s="67"/>
      <c r="C25" s="67"/>
      <c r="D25" s="67"/>
      <c r="E25" s="67"/>
      <c r="F25" s="67"/>
      <c r="G25" s="67"/>
      <c r="H25" s="67"/>
    </row>
    <row r="26" spans="2:13" ht="15.75" customHeight="1" x14ac:dyDescent="0.2">
      <c r="B26" s="67"/>
      <c r="C26" s="67"/>
      <c r="D26" s="67"/>
      <c r="E26" s="67"/>
      <c r="F26" s="67"/>
      <c r="G26" s="67"/>
      <c r="H26" s="67"/>
    </row>
    <row r="27" spans="2:13" ht="15" x14ac:dyDescent="0.25">
      <c r="B27" s="68" t="s">
        <v>88</v>
      </c>
      <c r="C27" s="272" t="s">
        <v>92</v>
      </c>
      <c r="D27" s="272"/>
      <c r="E27" s="69" t="s">
        <v>139</v>
      </c>
      <c r="F27" s="69" t="s">
        <v>94</v>
      </c>
      <c r="G27" s="70" t="s">
        <v>18</v>
      </c>
      <c r="H27" s="69" t="s">
        <v>121</v>
      </c>
    </row>
    <row r="28" spans="2:13" ht="25.5" customHeight="1" x14ac:dyDescent="0.2">
      <c r="B28" s="71">
        <v>44949</v>
      </c>
      <c r="C28" s="290" t="s">
        <v>140</v>
      </c>
      <c r="D28" s="280"/>
      <c r="E28" s="73">
        <v>40</v>
      </c>
      <c r="F28" s="74">
        <v>2</v>
      </c>
      <c r="G28" s="75">
        <v>0.1</v>
      </c>
      <c r="H28" s="73">
        <f>E28*F28</f>
        <v>80</v>
      </c>
    </row>
    <row r="29" spans="2:13" ht="14.25" x14ac:dyDescent="0.2">
      <c r="B29" s="76"/>
      <c r="C29" s="286"/>
      <c r="D29" s="287"/>
      <c r="E29" s="77"/>
      <c r="F29" s="78"/>
      <c r="G29" s="78"/>
      <c r="H29" s="77"/>
      <c r="M29" s="123"/>
    </row>
    <row r="30" spans="2:13" ht="30" customHeight="1" x14ac:dyDescent="0.2">
      <c r="B30" s="72"/>
      <c r="C30" s="290"/>
      <c r="D30" s="280"/>
      <c r="E30" s="63"/>
      <c r="F30" s="79" t="s">
        <v>97</v>
      </c>
      <c r="G30" s="79"/>
      <c r="H30" s="80">
        <f>SUM(H28:H29)</f>
        <v>80</v>
      </c>
    </row>
    <row r="31" spans="2:13" ht="30" customHeight="1" x14ac:dyDescent="0.2">
      <c r="B31" s="72"/>
      <c r="C31" s="72"/>
      <c r="D31" s="67"/>
      <c r="E31" s="63"/>
      <c r="F31" s="79" t="s">
        <v>98</v>
      </c>
      <c r="G31" s="79"/>
      <c r="H31" s="80">
        <f>H30*0.1</f>
        <v>8</v>
      </c>
    </row>
    <row r="32" spans="2:13" ht="30" customHeight="1" x14ac:dyDescent="0.2">
      <c r="B32" s="72"/>
      <c r="C32" s="290"/>
      <c r="D32" s="280"/>
      <c r="E32" s="63"/>
      <c r="F32" s="81" t="s">
        <v>99</v>
      </c>
      <c r="G32" s="81"/>
      <c r="H32" s="82">
        <v>0</v>
      </c>
    </row>
    <row r="33" spans="1:9" ht="30" customHeight="1" x14ac:dyDescent="0.25">
      <c r="B33" s="83"/>
      <c r="C33" s="291"/>
      <c r="D33" s="278"/>
      <c r="E33" s="84"/>
      <c r="F33" s="85" t="s">
        <v>100</v>
      </c>
      <c r="G33" s="85"/>
      <c r="H33" s="86">
        <f>SUM(H30:H32)</f>
        <v>88</v>
      </c>
    </row>
    <row r="34" spans="1:9" ht="30" customHeight="1" x14ac:dyDescent="0.25">
      <c r="B34" s="83"/>
      <c r="C34" s="83"/>
      <c r="E34" s="84"/>
      <c r="F34" s="85"/>
      <c r="G34" s="85"/>
      <c r="H34" s="87"/>
    </row>
    <row r="35" spans="1:9" ht="30" customHeight="1" x14ac:dyDescent="0.25">
      <c r="B35" s="83"/>
      <c r="C35" s="83"/>
      <c r="E35" s="84"/>
      <c r="F35" s="85"/>
      <c r="G35" s="85"/>
      <c r="H35" s="86"/>
    </row>
    <row r="36" spans="1:9" ht="30" customHeight="1" x14ac:dyDescent="0.25">
      <c r="B36" s="83"/>
      <c r="C36" s="83"/>
      <c r="E36" s="84"/>
      <c r="F36" s="85"/>
      <c r="G36" s="85"/>
      <c r="H36" s="86"/>
    </row>
    <row r="37" spans="1:9" ht="30" customHeight="1" x14ac:dyDescent="0.25">
      <c r="B37" s="83"/>
      <c r="C37" s="83"/>
      <c r="E37" s="84"/>
      <c r="F37" s="85"/>
      <c r="G37" s="85"/>
      <c r="H37" s="86"/>
    </row>
    <row r="38" spans="1:9" ht="30" customHeight="1" x14ac:dyDescent="0.25">
      <c r="B38" s="83"/>
      <c r="C38" s="83"/>
      <c r="E38" s="84"/>
      <c r="F38" s="85"/>
      <c r="G38" s="85"/>
      <c r="H38" s="86"/>
    </row>
    <row r="39" spans="1:9" ht="30" customHeight="1" x14ac:dyDescent="0.25">
      <c r="B39" s="83"/>
      <c r="C39" s="83"/>
      <c r="E39" s="84"/>
      <c r="F39" s="85"/>
      <c r="G39" s="85"/>
      <c r="H39" s="86"/>
    </row>
    <row r="40" spans="1:9" ht="30" customHeight="1" x14ac:dyDescent="0.25">
      <c r="B40" s="83"/>
      <c r="C40" s="83"/>
      <c r="E40" s="84"/>
      <c r="F40" s="85"/>
      <c r="G40" s="85"/>
      <c r="H40" s="86"/>
    </row>
    <row r="41" spans="1:9" ht="30" customHeight="1" x14ac:dyDescent="0.2">
      <c r="B41" s="83"/>
      <c r="C41" s="88"/>
      <c r="D41" s="292" t="s">
        <v>101</v>
      </c>
      <c r="E41" s="292"/>
      <c r="F41" s="292"/>
      <c r="G41" s="89"/>
      <c r="H41" s="90"/>
    </row>
    <row r="42" spans="1:9" ht="12.75" customHeight="1" x14ac:dyDescent="0.2"/>
    <row r="43" spans="1:9" ht="12.75" x14ac:dyDescent="0.2">
      <c r="A43" s="53"/>
      <c r="B43" s="124" t="s">
        <v>141</v>
      </c>
      <c r="C43" s="92"/>
      <c r="D43" s="92"/>
      <c r="E43" s="300" t="s">
        <v>103</v>
      </c>
      <c r="F43" s="300"/>
      <c r="G43" s="300"/>
      <c r="H43" s="300"/>
      <c r="I43" s="300"/>
    </row>
    <row r="44" spans="1:9" ht="14.25" customHeight="1" x14ac:dyDescent="0.2">
      <c r="A44" s="53"/>
      <c r="B44" s="94" t="s">
        <v>104</v>
      </c>
      <c r="C44" s="53"/>
      <c r="D44" s="53"/>
      <c r="E44" s="283">
        <f>H33</f>
        <v>88</v>
      </c>
      <c r="F44" s="283"/>
      <c r="G44" s="283"/>
      <c r="H44" s="283"/>
      <c r="I44" s="283"/>
    </row>
    <row r="45" spans="1:9" ht="14.25" x14ac:dyDescent="0.2">
      <c r="A45" s="53"/>
      <c r="B45" s="94" t="s">
        <v>106</v>
      </c>
      <c r="C45" s="53"/>
      <c r="D45" s="53"/>
      <c r="E45" s="283"/>
      <c r="F45" s="283"/>
      <c r="G45" s="283"/>
      <c r="H45" s="283"/>
      <c r="I45" s="283"/>
    </row>
    <row r="46" spans="1:9" ht="14.25" x14ac:dyDescent="0.2">
      <c r="A46" s="53"/>
      <c r="B46" s="94" t="s">
        <v>107</v>
      </c>
      <c r="C46" s="53"/>
      <c r="D46" s="53"/>
      <c r="E46" s="95"/>
      <c r="F46" s="95"/>
      <c r="G46" s="95"/>
      <c r="H46" s="95"/>
      <c r="I46" s="95"/>
    </row>
    <row r="47" spans="1:9" ht="13.5" x14ac:dyDescent="0.2">
      <c r="A47" s="53"/>
      <c r="B47" s="125" t="s">
        <v>142</v>
      </c>
      <c r="C47" s="96"/>
      <c r="D47" s="96"/>
      <c r="E47" s="97"/>
      <c r="F47" s="97"/>
      <c r="G47" s="97"/>
      <c r="H47" s="97"/>
      <c r="I47" s="95"/>
    </row>
    <row r="48" spans="1:9" ht="53.25" customHeight="1" x14ac:dyDescent="0.2">
      <c r="B48" s="284"/>
      <c r="C48" s="278"/>
      <c r="D48" s="278"/>
      <c r="E48" s="278"/>
      <c r="F48" s="278"/>
      <c r="G48" s="278"/>
      <c r="H48" s="278"/>
    </row>
    <row r="52" spans="6:7" ht="15.75" customHeight="1" x14ac:dyDescent="0.2">
      <c r="F52" s="62"/>
      <c r="G52" s="62"/>
    </row>
    <row r="53" spans="6:7" ht="15.75" customHeight="1" x14ac:dyDescent="0.2">
      <c r="F53" s="62"/>
      <c r="G53" s="62"/>
    </row>
    <row r="54" spans="6:7" ht="15.75" customHeight="1" x14ac:dyDescent="0.2">
      <c r="F54" s="62"/>
      <c r="G54" s="62"/>
    </row>
    <row r="57" spans="6:7" ht="15.75" customHeight="1" x14ac:dyDescent="0.2">
      <c r="F57" s="62"/>
      <c r="G57" s="62"/>
    </row>
    <row r="59" spans="6:7" ht="15.75" customHeight="1" x14ac:dyDescent="0.2">
      <c r="F59" s="62"/>
      <c r="G59" s="62"/>
    </row>
  </sheetData>
  <mergeCells count="21">
    <mergeCell ref="E43:I43"/>
    <mergeCell ref="E44:I45"/>
    <mergeCell ref="B48:H48"/>
    <mergeCell ref="C28:D28"/>
    <mergeCell ref="C29:D29"/>
    <mergeCell ref="C30:D30"/>
    <mergeCell ref="C32:D32"/>
    <mergeCell ref="C33:D33"/>
    <mergeCell ref="D41:F41"/>
    <mergeCell ref="C27:D27"/>
    <mergeCell ref="E3:H3"/>
    <mergeCell ref="B4:D6"/>
    <mergeCell ref="E4:H4"/>
    <mergeCell ref="E5:H5"/>
    <mergeCell ref="E6:H6"/>
    <mergeCell ref="B9:H9"/>
    <mergeCell ref="B18:E18"/>
    <mergeCell ref="B19:E19"/>
    <mergeCell ref="B20:E20"/>
    <mergeCell ref="B23:E23"/>
    <mergeCell ref="B24:H24"/>
  </mergeCells>
  <conditionalFormatting sqref="B26">
    <cfRule type="notContainsBlanks" dxfId="51" priority="1">
      <formula>LEN(TRIM(B26))&gt;0</formula>
    </cfRule>
  </conditionalFormatting>
  <hyperlinks>
    <hyperlink ref="B12" r:id="rId1" xr:uid="{1624CAB7-06F4-4DAA-8579-50B166098A60}"/>
  </hyperlinks>
  <pageMargins left="0.28999999999999998" right="0.19" top="0.6" bottom="0.5" header="0.31496062000000002" footer="0.31496062000000002"/>
  <pageSetup paperSize="9" scale="78" orientation="portrait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7159CC-F2CB-404E-BAAE-C23A5D41F78C}">
  <sheetPr codeName="Sheet9">
    <tabColor theme="9" tint="-0.499984740745262"/>
    <outlinePr summaryBelow="0" summaryRight="0"/>
    <pageSetUpPr fitToPage="1"/>
  </sheetPr>
  <dimension ref="A1:J59"/>
  <sheetViews>
    <sheetView showGridLines="0" zoomScale="130" zoomScaleNormal="130" workbookViewId="0">
      <selection activeCell="H11" sqref="H11"/>
    </sheetView>
  </sheetViews>
  <sheetFormatPr defaultColWidth="14.42578125" defaultRowHeight="15.75" customHeight="1" x14ac:dyDescent="0.2"/>
  <cols>
    <col min="1" max="1" width="5.42578125" style="55" customWidth="1"/>
    <col min="2" max="3" width="14.42578125" style="55"/>
    <col min="4" max="4" width="23.140625" style="55" customWidth="1"/>
    <col min="5" max="5" width="18.140625" style="55" bestFit="1" customWidth="1"/>
    <col min="6" max="6" width="16.42578125" style="55" customWidth="1"/>
    <col min="7" max="7" width="12.7109375" style="55" customWidth="1"/>
    <col min="8" max="8" width="17" style="55" bestFit="1" customWidth="1"/>
    <col min="9" max="9" width="3.85546875" style="55" customWidth="1"/>
    <col min="10" max="16384" width="14.42578125" style="55"/>
  </cols>
  <sheetData>
    <row r="1" spans="1:10" ht="39" customHeight="1" x14ac:dyDescent="0.2">
      <c r="A1" s="54"/>
      <c r="B1" s="54"/>
      <c r="C1" s="54"/>
      <c r="D1" s="54"/>
      <c r="E1" s="54"/>
      <c r="F1" s="54"/>
      <c r="G1" s="54"/>
      <c r="H1" s="54"/>
      <c r="I1" s="54"/>
    </row>
    <row r="2" spans="1:10" x14ac:dyDescent="0.25">
      <c r="A2" s="54"/>
      <c r="B2" s="56"/>
      <c r="C2" s="56"/>
      <c r="D2" s="56"/>
      <c r="E2" s="57"/>
      <c r="F2" s="57"/>
      <c r="G2" s="57"/>
      <c r="H2" s="57"/>
      <c r="I2" s="56"/>
    </row>
    <row r="3" spans="1:10" ht="12.75" x14ac:dyDescent="0.2">
      <c r="A3" s="54"/>
      <c r="B3" s="56"/>
      <c r="C3" s="56"/>
      <c r="D3" s="56"/>
      <c r="E3" s="273"/>
      <c r="F3" s="274"/>
      <c r="G3" s="274"/>
      <c r="H3" s="274"/>
      <c r="I3" s="56"/>
    </row>
    <row r="4" spans="1:10" ht="12.75" x14ac:dyDescent="0.2">
      <c r="A4" s="54"/>
      <c r="B4" s="275" t="s">
        <v>83</v>
      </c>
      <c r="C4" s="276"/>
      <c r="D4" s="276"/>
      <c r="E4" s="277"/>
      <c r="F4" s="274"/>
      <c r="G4" s="274"/>
      <c r="H4" s="274"/>
      <c r="I4" s="56"/>
    </row>
    <row r="5" spans="1:10" ht="12.75" x14ac:dyDescent="0.2">
      <c r="A5" s="54"/>
      <c r="B5" s="276"/>
      <c r="C5" s="276"/>
      <c r="D5" s="276"/>
      <c r="E5" s="277"/>
      <c r="F5" s="274"/>
      <c r="G5" s="274"/>
      <c r="H5" s="274"/>
      <c r="I5" s="56"/>
    </row>
    <row r="6" spans="1:10" ht="12.75" x14ac:dyDescent="0.2">
      <c r="A6" s="54"/>
      <c r="B6" s="276"/>
      <c r="C6" s="276"/>
      <c r="D6" s="276"/>
      <c r="E6" s="277"/>
      <c r="F6" s="274"/>
      <c r="G6" s="274"/>
      <c r="H6" s="274"/>
      <c r="I6" s="56"/>
    </row>
    <row r="7" spans="1:10" ht="36.75" customHeight="1" x14ac:dyDescent="0.2">
      <c r="A7" s="54"/>
      <c r="B7" s="54"/>
      <c r="C7" s="54"/>
      <c r="D7" s="54"/>
      <c r="E7" s="54"/>
      <c r="F7" s="54"/>
      <c r="G7" s="54"/>
      <c r="H7" s="54"/>
      <c r="I7" s="54"/>
    </row>
    <row r="8" spans="1:10" ht="21.75" customHeight="1" x14ac:dyDescent="0.2">
      <c r="A8" s="58"/>
      <c r="B8" s="58"/>
      <c r="C8" s="58"/>
      <c r="D8" s="58"/>
      <c r="E8" s="58"/>
      <c r="F8" s="58"/>
      <c r="G8" s="58"/>
      <c r="H8" s="58"/>
      <c r="I8" s="58"/>
      <c r="J8" s="59"/>
    </row>
    <row r="9" spans="1:10" ht="15.75" customHeight="1" x14ac:dyDescent="0.2">
      <c r="B9" s="278"/>
      <c r="C9" s="278"/>
      <c r="D9" s="278"/>
      <c r="E9" s="278"/>
      <c r="F9" s="278"/>
      <c r="G9" s="278"/>
      <c r="H9" s="278"/>
    </row>
    <row r="10" spans="1:10" ht="15" customHeight="1" x14ac:dyDescent="0.2">
      <c r="A10" s="98"/>
      <c r="B10" s="60" t="s">
        <v>84</v>
      </c>
      <c r="G10" s="60"/>
      <c r="H10" s="61" t="s">
        <v>85</v>
      </c>
    </row>
    <row r="11" spans="1:10" ht="14.25" x14ac:dyDescent="0.2">
      <c r="A11" s="98"/>
      <c r="B11" s="62" t="s">
        <v>86</v>
      </c>
      <c r="G11" s="62"/>
      <c r="H11" s="63" t="str">
        <f>"SJ"&amp;J11</f>
        <v>SJ1028</v>
      </c>
      <c r="J11" s="55">
        <v>1028</v>
      </c>
    </row>
    <row r="12" spans="1:10" ht="15" x14ac:dyDescent="0.2">
      <c r="A12" s="98"/>
      <c r="B12" s="62" t="s">
        <v>87</v>
      </c>
      <c r="G12" s="60"/>
      <c r="H12" s="61" t="s">
        <v>88</v>
      </c>
      <c r="J12" s="55">
        <v>7</v>
      </c>
    </row>
    <row r="13" spans="1:10" ht="14.25" x14ac:dyDescent="0.2">
      <c r="A13" s="98"/>
      <c r="B13" s="62"/>
      <c r="F13" s="107"/>
      <c r="G13" s="64"/>
      <c r="H13" s="65">
        <v>44950</v>
      </c>
    </row>
    <row r="14" spans="1:10" ht="15" x14ac:dyDescent="0.2">
      <c r="A14" s="98"/>
      <c r="G14" s="60"/>
      <c r="H14" s="61" t="s">
        <v>89</v>
      </c>
    </row>
    <row r="15" spans="1:10" ht="14.25" x14ac:dyDescent="0.2">
      <c r="A15" s="98"/>
      <c r="G15" s="64"/>
      <c r="H15" s="65">
        <f>H13+J12</f>
        <v>44957</v>
      </c>
    </row>
    <row r="16" spans="1:10" ht="14.25" x14ac:dyDescent="0.2">
      <c r="A16" s="98"/>
      <c r="B16" s="62"/>
      <c r="F16" s="65"/>
      <c r="G16" s="65"/>
      <c r="H16" s="65"/>
    </row>
    <row r="17" spans="1:8" ht="14.25" x14ac:dyDescent="0.2">
      <c r="A17" s="98"/>
      <c r="F17" s="65"/>
      <c r="G17" s="65"/>
      <c r="H17" s="66"/>
    </row>
    <row r="18" spans="1:8" ht="22.5" customHeight="1" x14ac:dyDescent="0.2">
      <c r="A18" s="98"/>
      <c r="B18" s="279" t="s">
        <v>90</v>
      </c>
      <c r="C18" s="280"/>
      <c r="D18" s="280"/>
      <c r="E18" s="280"/>
      <c r="F18" s="65"/>
      <c r="G18" s="65"/>
      <c r="H18" s="66"/>
    </row>
    <row r="19" spans="1:8" ht="15" x14ac:dyDescent="0.2">
      <c r="A19" s="98"/>
      <c r="B19" s="279" t="s">
        <v>46</v>
      </c>
      <c r="C19" s="280"/>
      <c r="D19" s="280"/>
      <c r="E19" s="280"/>
      <c r="F19" s="65"/>
      <c r="G19" s="65"/>
      <c r="H19" s="66"/>
    </row>
    <row r="20" spans="1:8" ht="14.25" x14ac:dyDescent="0.2">
      <c r="A20" s="98"/>
      <c r="B20" s="281" t="s">
        <v>143</v>
      </c>
      <c r="C20" s="280"/>
      <c r="D20" s="280"/>
      <c r="E20" s="280"/>
      <c r="F20" s="65"/>
      <c r="G20" s="65"/>
      <c r="H20" s="66"/>
    </row>
    <row r="21" spans="1:8" ht="14.25" x14ac:dyDescent="0.2">
      <c r="A21" s="98"/>
      <c r="B21" s="62"/>
      <c r="C21" s="67"/>
      <c r="D21" s="67"/>
      <c r="E21" s="67"/>
      <c r="F21" s="65"/>
      <c r="G21" s="65"/>
      <c r="H21" s="66"/>
    </row>
    <row r="22" spans="1:8" ht="14.25" x14ac:dyDescent="0.2">
      <c r="A22" s="98"/>
      <c r="B22" s="62"/>
      <c r="C22" s="67"/>
      <c r="D22" s="67"/>
      <c r="E22" s="67"/>
      <c r="F22" s="65"/>
      <c r="G22" s="65"/>
      <c r="H22" s="66"/>
    </row>
    <row r="23" spans="1:8" ht="22.5" customHeight="1" x14ac:dyDescent="0.2">
      <c r="A23" s="98"/>
      <c r="B23" s="282"/>
      <c r="C23" s="280"/>
      <c r="D23" s="280"/>
      <c r="E23" s="280"/>
      <c r="F23" s="67"/>
      <c r="G23" s="67"/>
      <c r="H23" s="67"/>
    </row>
    <row r="24" spans="1:8" ht="27.75" customHeight="1" x14ac:dyDescent="0.2">
      <c r="B24" s="280"/>
      <c r="C24" s="280"/>
      <c r="D24" s="280"/>
      <c r="E24" s="280"/>
      <c r="F24" s="280"/>
      <c r="G24" s="280"/>
      <c r="H24" s="280"/>
    </row>
    <row r="25" spans="1:8" ht="27.75" customHeight="1" x14ac:dyDescent="0.2">
      <c r="B25" s="67"/>
      <c r="C25" s="67"/>
      <c r="D25" s="67"/>
      <c r="E25" s="67"/>
      <c r="F25" s="67"/>
      <c r="G25" s="67"/>
      <c r="H25" s="67"/>
    </row>
    <row r="26" spans="1:8" ht="15.75" customHeight="1" x14ac:dyDescent="0.2">
      <c r="B26" s="67"/>
      <c r="C26" s="67"/>
      <c r="D26" s="67"/>
      <c r="E26" s="67"/>
      <c r="F26" s="67"/>
      <c r="G26" s="67"/>
      <c r="H26" s="67"/>
    </row>
    <row r="27" spans="1:8" ht="15" x14ac:dyDescent="0.25">
      <c r="B27" s="68" t="s">
        <v>88</v>
      </c>
      <c r="C27" s="272" t="s">
        <v>92</v>
      </c>
      <c r="D27" s="272"/>
      <c r="E27" s="70" t="s">
        <v>93</v>
      </c>
      <c r="F27" s="70" t="s">
        <v>94</v>
      </c>
      <c r="G27" s="70" t="s">
        <v>18</v>
      </c>
      <c r="H27" s="70" t="s">
        <v>121</v>
      </c>
    </row>
    <row r="28" spans="1:8" ht="35.25" customHeight="1" x14ac:dyDescent="0.2">
      <c r="B28" s="71">
        <v>44949</v>
      </c>
      <c r="C28" s="293" t="s">
        <v>144</v>
      </c>
      <c r="D28" s="299"/>
      <c r="E28" s="117">
        <v>38</v>
      </c>
      <c r="F28" s="118">
        <v>2.5</v>
      </c>
      <c r="G28" s="119">
        <v>0.1</v>
      </c>
      <c r="H28" s="117">
        <f>E28*F28</f>
        <v>95</v>
      </c>
    </row>
    <row r="29" spans="1:8" ht="15.75" customHeight="1" x14ac:dyDescent="0.2">
      <c r="B29" s="76"/>
      <c r="C29" s="286"/>
      <c r="D29" s="287"/>
      <c r="E29" s="109"/>
      <c r="F29" s="110"/>
      <c r="G29" s="110"/>
      <c r="H29" s="111"/>
    </row>
    <row r="30" spans="1:8" ht="30" customHeight="1" x14ac:dyDescent="0.2">
      <c r="B30" s="72"/>
      <c r="C30" s="290"/>
      <c r="D30" s="280"/>
      <c r="E30" s="63"/>
      <c r="F30" s="79" t="s">
        <v>97</v>
      </c>
      <c r="G30" s="79"/>
      <c r="H30" s="80">
        <f>SUM(H28:H29)</f>
        <v>95</v>
      </c>
    </row>
    <row r="31" spans="1:8" ht="30" customHeight="1" x14ac:dyDescent="0.2">
      <c r="B31" s="72"/>
      <c r="C31" s="72"/>
      <c r="D31" s="67"/>
      <c r="E31" s="63"/>
      <c r="F31" s="79" t="s">
        <v>125</v>
      </c>
      <c r="G31" s="79"/>
      <c r="H31" s="80">
        <f>G28*H30</f>
        <v>9.5</v>
      </c>
    </row>
    <row r="32" spans="1:8" ht="30" customHeight="1" x14ac:dyDescent="0.2">
      <c r="B32" s="72"/>
      <c r="C32" s="290"/>
      <c r="D32" s="280"/>
      <c r="E32" s="63"/>
      <c r="F32" s="81" t="s">
        <v>99</v>
      </c>
      <c r="G32" s="81"/>
      <c r="H32" s="82">
        <v>0</v>
      </c>
    </row>
    <row r="33" spans="1:9" ht="30" customHeight="1" x14ac:dyDescent="0.25">
      <c r="B33" s="83"/>
      <c r="C33" s="291"/>
      <c r="D33" s="278"/>
      <c r="E33" s="84"/>
      <c r="F33" s="85" t="s">
        <v>100</v>
      </c>
      <c r="G33" s="85"/>
      <c r="H33" s="86">
        <f>SUM(H30:H32)</f>
        <v>104.5</v>
      </c>
    </row>
    <row r="34" spans="1:9" ht="30" customHeight="1" x14ac:dyDescent="0.25">
      <c r="B34" s="83"/>
      <c r="C34" s="83"/>
      <c r="E34" s="84"/>
      <c r="F34" s="85"/>
      <c r="G34" s="85"/>
      <c r="H34" s="87"/>
    </row>
    <row r="35" spans="1:9" ht="30" customHeight="1" x14ac:dyDescent="0.25">
      <c r="B35" s="83"/>
      <c r="C35" s="83"/>
      <c r="E35" s="84"/>
      <c r="F35" s="85"/>
      <c r="G35" s="85"/>
      <c r="H35" s="86"/>
    </row>
    <row r="36" spans="1:9" ht="30" customHeight="1" x14ac:dyDescent="0.25">
      <c r="B36" s="83"/>
      <c r="C36" s="83"/>
      <c r="E36" s="84"/>
      <c r="F36" s="85"/>
      <c r="G36" s="85"/>
      <c r="H36" s="86"/>
    </row>
    <row r="37" spans="1:9" ht="30" customHeight="1" x14ac:dyDescent="0.25">
      <c r="B37" s="83"/>
      <c r="C37" s="83"/>
      <c r="E37" s="84"/>
      <c r="F37" s="85"/>
      <c r="G37" s="85"/>
      <c r="H37" s="86"/>
    </row>
    <row r="38" spans="1:9" ht="30" customHeight="1" x14ac:dyDescent="0.25">
      <c r="B38" s="83"/>
      <c r="C38" s="83"/>
      <c r="E38" s="84"/>
      <c r="F38" s="85"/>
      <c r="G38" s="85"/>
      <c r="H38" s="86"/>
    </row>
    <row r="39" spans="1:9" ht="30" customHeight="1" x14ac:dyDescent="0.25">
      <c r="B39" s="83"/>
      <c r="C39" s="83"/>
      <c r="E39" s="84"/>
      <c r="F39" s="85"/>
      <c r="G39" s="85"/>
      <c r="H39" s="86"/>
    </row>
    <row r="40" spans="1:9" ht="30" customHeight="1" x14ac:dyDescent="0.25">
      <c r="B40" s="83"/>
      <c r="C40" s="83"/>
      <c r="E40" s="84"/>
      <c r="F40" s="85"/>
      <c r="G40" s="85"/>
      <c r="H40" s="86"/>
    </row>
    <row r="41" spans="1:9" ht="30" customHeight="1" x14ac:dyDescent="0.2">
      <c r="B41" s="83"/>
      <c r="C41" s="88"/>
      <c r="D41" s="292" t="s">
        <v>101</v>
      </c>
      <c r="E41" s="292"/>
      <c r="F41" s="292"/>
      <c r="G41" s="89"/>
      <c r="H41" s="90"/>
    </row>
    <row r="42" spans="1:9" ht="12.75" customHeight="1" x14ac:dyDescent="0.2"/>
    <row r="43" spans="1:9" ht="12.75" x14ac:dyDescent="0.2">
      <c r="A43" s="92"/>
      <c r="B43" s="91" t="s">
        <v>102</v>
      </c>
      <c r="C43" s="92"/>
      <c r="D43" s="92"/>
      <c r="E43" s="120"/>
      <c r="F43" s="121"/>
      <c r="G43" s="121"/>
      <c r="H43" s="93" t="s">
        <v>103</v>
      </c>
      <c r="I43" s="122"/>
    </row>
    <row r="44" spans="1:9" ht="14.25" customHeight="1" x14ac:dyDescent="0.2">
      <c r="A44" s="92"/>
      <c r="B44" s="94" t="s">
        <v>104</v>
      </c>
      <c r="C44" s="53"/>
      <c r="D44" s="53"/>
      <c r="E44" s="120"/>
      <c r="F44" s="120"/>
      <c r="G44" s="283">
        <f>H33</f>
        <v>104.5</v>
      </c>
      <c r="H44" s="283"/>
      <c r="I44" s="122"/>
    </row>
    <row r="45" spans="1:9" ht="14.25" customHeight="1" x14ac:dyDescent="0.2">
      <c r="A45" s="53"/>
      <c r="B45" s="94" t="s">
        <v>105</v>
      </c>
      <c r="C45" s="53"/>
      <c r="D45" s="53"/>
      <c r="E45" s="120"/>
      <c r="F45" s="120"/>
      <c r="G45" s="283"/>
      <c r="H45" s="283"/>
      <c r="I45" s="122"/>
    </row>
    <row r="46" spans="1:9" ht="14.25" x14ac:dyDescent="0.2">
      <c r="A46" s="53"/>
      <c r="B46" s="94" t="s">
        <v>106</v>
      </c>
      <c r="C46" s="53"/>
      <c r="D46" s="53"/>
      <c r="E46" s="95"/>
      <c r="F46" s="95"/>
      <c r="G46" s="95"/>
      <c r="H46" s="95"/>
      <c r="I46" s="95"/>
    </row>
    <row r="47" spans="1:9" ht="14.25" x14ac:dyDescent="0.2">
      <c r="A47" s="53"/>
      <c r="B47" s="94" t="s">
        <v>107</v>
      </c>
      <c r="C47" s="96"/>
      <c r="D47" s="96"/>
      <c r="E47" s="97"/>
      <c r="F47" s="97"/>
      <c r="G47" s="97"/>
      <c r="H47" s="97"/>
      <c r="I47" s="95"/>
    </row>
    <row r="48" spans="1:9" ht="53.25" customHeight="1" x14ac:dyDescent="0.2">
      <c r="B48" s="284"/>
      <c r="C48" s="278"/>
      <c r="D48" s="278"/>
      <c r="E48" s="278"/>
      <c r="F48" s="278"/>
      <c r="G48" s="278"/>
      <c r="H48" s="278"/>
    </row>
    <row r="52" spans="6:7" ht="15.75" customHeight="1" x14ac:dyDescent="0.2">
      <c r="F52" s="62"/>
      <c r="G52" s="62"/>
    </row>
    <row r="53" spans="6:7" ht="15.75" customHeight="1" x14ac:dyDescent="0.2">
      <c r="F53" s="62"/>
      <c r="G53" s="62"/>
    </row>
    <row r="54" spans="6:7" ht="15.75" customHeight="1" x14ac:dyDescent="0.2">
      <c r="F54" s="62"/>
      <c r="G54" s="62"/>
    </row>
    <row r="57" spans="6:7" ht="15.75" customHeight="1" x14ac:dyDescent="0.2">
      <c r="F57" s="62"/>
      <c r="G57" s="62"/>
    </row>
    <row r="59" spans="6:7" ht="15.75" customHeight="1" x14ac:dyDescent="0.2">
      <c r="F59" s="62"/>
      <c r="G59" s="62"/>
    </row>
  </sheetData>
  <mergeCells count="20">
    <mergeCell ref="G44:H45"/>
    <mergeCell ref="B48:H48"/>
    <mergeCell ref="C28:D28"/>
    <mergeCell ref="C29:D29"/>
    <mergeCell ref="C30:D30"/>
    <mergeCell ref="C32:D32"/>
    <mergeCell ref="C33:D33"/>
    <mergeCell ref="D41:F41"/>
    <mergeCell ref="C27:D27"/>
    <mergeCell ref="E3:H3"/>
    <mergeCell ref="B4:D6"/>
    <mergeCell ref="E4:H4"/>
    <mergeCell ref="E5:H5"/>
    <mergeCell ref="E6:H6"/>
    <mergeCell ref="B9:H9"/>
    <mergeCell ref="B18:E18"/>
    <mergeCell ref="B19:E19"/>
    <mergeCell ref="B20:E20"/>
    <mergeCell ref="B23:E23"/>
    <mergeCell ref="B24:H24"/>
  </mergeCells>
  <conditionalFormatting sqref="B26">
    <cfRule type="notContainsBlanks" dxfId="50" priority="1">
      <formula>LEN(TRIM(B26))&gt;0</formula>
    </cfRule>
  </conditionalFormatting>
  <hyperlinks>
    <hyperlink ref="B12" r:id="rId1" xr:uid="{5236D133-A8A2-4BE2-A5D8-FB01012E846B}"/>
  </hyperlinks>
  <printOptions horizontalCentered="1" verticalCentered="1"/>
  <pageMargins left="0.11811023622047245" right="0.15748031496062992" top="0.39370078740157483" bottom="0.31496062992125984" header="0.31496062992125984" footer="0.15748031496062992"/>
  <pageSetup paperSize="9" scale="81" orientation="portrait" r:id="rId2"/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E3CFA3-9023-45ED-BB38-1837446C66D7}">
  <sheetPr codeName="Sheet10">
    <tabColor theme="9" tint="-0.499984740745262"/>
    <outlinePr summaryBelow="0" summaryRight="0"/>
    <pageSetUpPr fitToPage="1"/>
  </sheetPr>
  <dimension ref="A1:J59"/>
  <sheetViews>
    <sheetView showGridLines="0" zoomScale="110" zoomScaleNormal="110" workbookViewId="0">
      <selection activeCell="H11" sqref="H11"/>
    </sheetView>
  </sheetViews>
  <sheetFormatPr defaultColWidth="14.42578125" defaultRowHeight="15.75" customHeight="1" x14ac:dyDescent="0.2"/>
  <cols>
    <col min="1" max="1" width="5.42578125" style="55" customWidth="1"/>
    <col min="2" max="3" width="14.42578125" style="55"/>
    <col min="4" max="4" width="23.140625" style="55" customWidth="1"/>
    <col min="5" max="5" width="18.140625" style="55" bestFit="1" customWidth="1"/>
    <col min="6" max="7" width="16.42578125" style="55" customWidth="1"/>
    <col min="8" max="8" width="17" style="55" bestFit="1" customWidth="1"/>
    <col min="9" max="9" width="3.85546875" style="55" customWidth="1"/>
    <col min="10" max="16384" width="14.42578125" style="55"/>
  </cols>
  <sheetData>
    <row r="1" spans="1:10" ht="39" customHeight="1" x14ac:dyDescent="0.2">
      <c r="A1" s="54"/>
      <c r="B1" s="54"/>
      <c r="C1" s="54"/>
      <c r="D1" s="54"/>
      <c r="E1" s="54"/>
      <c r="F1" s="54"/>
      <c r="G1" s="54"/>
      <c r="H1" s="54"/>
      <c r="I1" s="54"/>
    </row>
    <row r="2" spans="1:10" x14ac:dyDescent="0.25">
      <c r="A2" s="54"/>
      <c r="B2" s="56"/>
      <c r="C2" s="56"/>
      <c r="D2" s="56"/>
      <c r="E2" s="57"/>
      <c r="F2" s="57"/>
      <c r="G2" s="57"/>
      <c r="H2" s="57"/>
      <c r="I2" s="56"/>
    </row>
    <row r="3" spans="1:10" ht="12.75" x14ac:dyDescent="0.2">
      <c r="A3" s="54"/>
      <c r="B3" s="56"/>
      <c r="C3" s="56"/>
      <c r="D3" s="56"/>
      <c r="E3" s="273"/>
      <c r="F3" s="274"/>
      <c r="G3" s="274"/>
      <c r="H3" s="274"/>
      <c r="I3" s="56"/>
    </row>
    <row r="4" spans="1:10" ht="12.75" x14ac:dyDescent="0.2">
      <c r="A4" s="54"/>
      <c r="B4" s="275" t="s">
        <v>83</v>
      </c>
      <c r="C4" s="276"/>
      <c r="D4" s="276"/>
      <c r="E4" s="277"/>
      <c r="F4" s="274"/>
      <c r="G4" s="274"/>
      <c r="H4" s="274"/>
      <c r="I4" s="56"/>
    </row>
    <row r="5" spans="1:10" ht="12.75" x14ac:dyDescent="0.2">
      <c r="A5" s="54"/>
      <c r="B5" s="276"/>
      <c r="C5" s="276"/>
      <c r="D5" s="276"/>
      <c r="E5" s="277"/>
      <c r="F5" s="274"/>
      <c r="G5" s="274"/>
      <c r="H5" s="274"/>
      <c r="I5" s="56"/>
    </row>
    <row r="6" spans="1:10" ht="12.75" x14ac:dyDescent="0.2">
      <c r="A6" s="54"/>
      <c r="B6" s="276"/>
      <c r="C6" s="276"/>
      <c r="D6" s="276"/>
      <c r="E6" s="277"/>
      <c r="F6" s="274"/>
      <c r="G6" s="274"/>
      <c r="H6" s="274"/>
      <c r="I6" s="56"/>
    </row>
    <row r="7" spans="1:10" ht="36.75" customHeight="1" x14ac:dyDescent="0.2">
      <c r="A7" s="54"/>
      <c r="B7" s="54"/>
      <c r="C7" s="54"/>
      <c r="D7" s="54"/>
      <c r="E7" s="54"/>
      <c r="F7" s="54"/>
      <c r="G7" s="54"/>
      <c r="H7" s="54"/>
      <c r="I7" s="54"/>
    </row>
    <row r="8" spans="1:10" ht="21.75" customHeight="1" x14ac:dyDescent="0.2">
      <c r="A8" s="58"/>
      <c r="B8" s="58"/>
      <c r="C8" s="58"/>
      <c r="D8" s="58"/>
      <c r="E8" s="58"/>
      <c r="F8" s="58"/>
      <c r="G8" s="58"/>
      <c r="H8" s="58"/>
      <c r="I8" s="58"/>
      <c r="J8" s="59"/>
    </row>
    <row r="9" spans="1:10" ht="15.75" customHeight="1" x14ac:dyDescent="0.2">
      <c r="B9" s="278"/>
      <c r="C9" s="278"/>
      <c r="D9" s="278"/>
      <c r="E9" s="278"/>
      <c r="F9" s="278"/>
      <c r="G9" s="278"/>
      <c r="H9" s="278"/>
    </row>
    <row r="10" spans="1:10" ht="15" customHeight="1" x14ac:dyDescent="0.2">
      <c r="A10" s="98"/>
      <c r="B10" s="60" t="s">
        <v>84</v>
      </c>
      <c r="G10" s="60"/>
      <c r="H10" s="61" t="s">
        <v>85</v>
      </c>
    </row>
    <row r="11" spans="1:10" ht="14.25" x14ac:dyDescent="0.2">
      <c r="A11" s="98"/>
      <c r="B11" s="62" t="s">
        <v>86</v>
      </c>
      <c r="G11" s="62"/>
      <c r="H11" s="63" t="str">
        <f>"SB"&amp;J11</f>
        <v>SB43</v>
      </c>
      <c r="J11" s="55">
        <v>43</v>
      </c>
    </row>
    <row r="12" spans="1:10" ht="15" x14ac:dyDescent="0.2">
      <c r="A12" s="98"/>
      <c r="B12" s="62" t="s">
        <v>87</v>
      </c>
      <c r="G12" s="60"/>
      <c r="H12" s="61" t="s">
        <v>88</v>
      </c>
      <c r="J12" s="55">
        <v>7</v>
      </c>
    </row>
    <row r="13" spans="1:10" ht="14.25" x14ac:dyDescent="0.2">
      <c r="A13" s="98"/>
      <c r="B13" s="62"/>
      <c r="F13" s="107"/>
      <c r="G13" s="64"/>
      <c r="H13" s="65">
        <v>44943</v>
      </c>
    </row>
    <row r="14" spans="1:10" ht="15" x14ac:dyDescent="0.2">
      <c r="A14" s="98"/>
      <c r="G14" s="60"/>
      <c r="H14" s="61" t="s">
        <v>89</v>
      </c>
    </row>
    <row r="15" spans="1:10" ht="14.25" x14ac:dyDescent="0.2">
      <c r="A15" s="98"/>
      <c r="G15" s="64"/>
      <c r="H15" s="65">
        <f>H13+J12</f>
        <v>44950</v>
      </c>
    </row>
    <row r="16" spans="1:10" ht="14.25" x14ac:dyDescent="0.2">
      <c r="A16" s="98"/>
      <c r="B16" s="62"/>
      <c r="F16" s="65"/>
      <c r="G16" s="65"/>
      <c r="H16" s="65"/>
    </row>
    <row r="17" spans="1:8" ht="14.25" x14ac:dyDescent="0.2">
      <c r="A17" s="98"/>
      <c r="F17" s="65"/>
      <c r="G17" s="65"/>
      <c r="H17" s="66"/>
    </row>
    <row r="18" spans="1:8" ht="22.5" customHeight="1" x14ac:dyDescent="0.2">
      <c r="A18" s="98"/>
      <c r="B18" s="279" t="s">
        <v>90</v>
      </c>
      <c r="C18" s="280"/>
      <c r="D18" s="280"/>
      <c r="E18" s="280"/>
      <c r="F18" s="65"/>
      <c r="G18" s="65"/>
      <c r="H18" s="66"/>
    </row>
    <row r="19" spans="1:8" ht="15" x14ac:dyDescent="0.2">
      <c r="A19" s="98"/>
      <c r="B19" s="279" t="s">
        <v>34</v>
      </c>
      <c r="C19" s="280"/>
      <c r="D19" s="280"/>
      <c r="E19" s="280"/>
      <c r="F19" s="65"/>
      <c r="G19" s="65"/>
      <c r="H19" s="66"/>
    </row>
    <row r="20" spans="1:8" ht="14.25" x14ac:dyDescent="0.2">
      <c r="A20" s="98"/>
      <c r="B20" s="282" t="s">
        <v>145</v>
      </c>
      <c r="C20" s="280"/>
      <c r="D20" s="280"/>
      <c r="E20" s="280"/>
      <c r="F20" s="65"/>
      <c r="G20" s="65"/>
      <c r="H20" s="66"/>
    </row>
    <row r="21" spans="1:8" ht="14.25" x14ac:dyDescent="0.2">
      <c r="A21" s="98"/>
      <c r="B21" s="62"/>
      <c r="C21" s="67"/>
      <c r="D21" s="67"/>
      <c r="E21" s="67"/>
      <c r="F21" s="65"/>
      <c r="G21" s="65"/>
      <c r="H21" s="66"/>
    </row>
    <row r="22" spans="1:8" ht="14.25" x14ac:dyDescent="0.2">
      <c r="A22" s="98"/>
      <c r="B22" s="62"/>
      <c r="C22" s="67"/>
      <c r="D22" s="67"/>
      <c r="E22" s="67"/>
      <c r="F22" s="65"/>
      <c r="G22" s="65"/>
      <c r="H22" s="66"/>
    </row>
    <row r="23" spans="1:8" ht="22.5" customHeight="1" x14ac:dyDescent="0.2">
      <c r="A23" s="98"/>
      <c r="B23" s="282"/>
      <c r="C23" s="280"/>
      <c r="D23" s="280"/>
      <c r="E23" s="280"/>
      <c r="F23" s="67"/>
      <c r="G23" s="67"/>
      <c r="H23" s="67"/>
    </row>
    <row r="24" spans="1:8" ht="27.75" customHeight="1" x14ac:dyDescent="0.2">
      <c r="B24" s="280"/>
      <c r="C24" s="280"/>
      <c r="D24" s="280"/>
      <c r="E24" s="280"/>
      <c r="F24" s="280"/>
      <c r="G24" s="280"/>
      <c r="H24" s="280"/>
    </row>
    <row r="25" spans="1:8" ht="27.75" customHeight="1" x14ac:dyDescent="0.2">
      <c r="B25" s="67"/>
      <c r="C25" s="67"/>
      <c r="D25" s="67"/>
      <c r="E25" s="67"/>
      <c r="F25" s="67"/>
      <c r="G25" s="67"/>
      <c r="H25" s="67"/>
    </row>
    <row r="26" spans="1:8" ht="15.75" customHeight="1" x14ac:dyDescent="0.2">
      <c r="B26" s="67"/>
      <c r="C26" s="67"/>
      <c r="D26" s="67"/>
      <c r="E26" s="67"/>
      <c r="F26" s="67"/>
      <c r="G26" s="67"/>
      <c r="H26" s="67"/>
    </row>
    <row r="27" spans="1:8" ht="15" x14ac:dyDescent="0.25">
      <c r="B27" s="68" t="s">
        <v>88</v>
      </c>
      <c r="C27" s="272" t="s">
        <v>92</v>
      </c>
      <c r="D27" s="272"/>
      <c r="E27" s="70" t="s">
        <v>93</v>
      </c>
      <c r="F27" s="70" t="s">
        <v>94</v>
      </c>
      <c r="G27" s="70" t="s">
        <v>18</v>
      </c>
      <c r="H27" s="70" t="s">
        <v>121</v>
      </c>
    </row>
    <row r="28" spans="1:8" ht="35.25" customHeight="1" x14ac:dyDescent="0.2">
      <c r="B28" s="71">
        <v>44942</v>
      </c>
      <c r="C28" s="293" t="s">
        <v>146</v>
      </c>
      <c r="D28" s="299"/>
      <c r="E28" s="117">
        <v>39</v>
      </c>
      <c r="F28" s="118">
        <v>3</v>
      </c>
      <c r="G28" s="119">
        <v>0.1</v>
      </c>
      <c r="H28" s="117">
        <f>E28*F28</f>
        <v>117</v>
      </c>
    </row>
    <row r="29" spans="1:8" ht="15.75" customHeight="1" x14ac:dyDescent="0.2">
      <c r="B29" s="76"/>
      <c r="C29" s="286"/>
      <c r="D29" s="287"/>
      <c r="E29" s="109"/>
      <c r="F29" s="110"/>
      <c r="G29" s="110"/>
      <c r="H29" s="111"/>
    </row>
    <row r="30" spans="1:8" ht="30" customHeight="1" x14ac:dyDescent="0.2">
      <c r="B30" s="72"/>
      <c r="C30" s="290"/>
      <c r="D30" s="280"/>
      <c r="E30" s="63"/>
      <c r="F30" s="79" t="s">
        <v>97</v>
      </c>
      <c r="G30" s="79"/>
      <c r="H30" s="80">
        <f>SUM(H28:H29)</f>
        <v>117</v>
      </c>
    </row>
    <row r="31" spans="1:8" ht="30" customHeight="1" x14ac:dyDescent="0.2">
      <c r="B31" s="72"/>
      <c r="C31" s="72"/>
      <c r="D31" s="67"/>
      <c r="E31" s="63"/>
      <c r="F31" s="79" t="s">
        <v>125</v>
      </c>
      <c r="G31" s="79"/>
      <c r="H31" s="80">
        <f>G28*H30</f>
        <v>11.700000000000001</v>
      </c>
    </row>
    <row r="32" spans="1:8" ht="30" customHeight="1" x14ac:dyDescent="0.2">
      <c r="B32" s="72"/>
      <c r="C32" s="290"/>
      <c r="D32" s="280"/>
      <c r="E32" s="63"/>
      <c r="F32" s="81" t="s">
        <v>99</v>
      </c>
      <c r="G32" s="81"/>
      <c r="H32" s="82">
        <v>0</v>
      </c>
    </row>
    <row r="33" spans="1:9" ht="30" customHeight="1" x14ac:dyDescent="0.25">
      <c r="B33" s="83"/>
      <c r="C33" s="291"/>
      <c r="D33" s="278"/>
      <c r="E33" s="84"/>
      <c r="F33" s="85" t="s">
        <v>100</v>
      </c>
      <c r="G33" s="85"/>
      <c r="H33" s="86">
        <f>SUM(H30:H32)</f>
        <v>128.69999999999999</v>
      </c>
    </row>
    <row r="34" spans="1:9" ht="30" customHeight="1" x14ac:dyDescent="0.25">
      <c r="B34" s="83"/>
      <c r="C34" s="83"/>
      <c r="E34" s="84"/>
      <c r="F34" s="85"/>
      <c r="G34" s="85"/>
      <c r="H34" s="87"/>
    </row>
    <row r="35" spans="1:9" ht="30" customHeight="1" x14ac:dyDescent="0.25">
      <c r="B35" s="83"/>
      <c r="C35" s="83"/>
      <c r="E35" s="84"/>
      <c r="F35" s="85"/>
      <c r="G35" s="85"/>
      <c r="H35" s="86"/>
    </row>
    <row r="36" spans="1:9" ht="30" customHeight="1" x14ac:dyDescent="0.25">
      <c r="B36" s="83"/>
      <c r="C36" s="83"/>
      <c r="E36" s="84"/>
      <c r="F36" s="85"/>
      <c r="G36" s="85"/>
      <c r="H36" s="86"/>
    </row>
    <row r="37" spans="1:9" ht="30" customHeight="1" x14ac:dyDescent="0.25">
      <c r="B37" s="83"/>
      <c r="C37" s="83"/>
      <c r="E37" s="84"/>
      <c r="F37" s="85"/>
      <c r="G37" s="85"/>
      <c r="H37" s="86"/>
    </row>
    <row r="38" spans="1:9" ht="30" customHeight="1" x14ac:dyDescent="0.25">
      <c r="B38" s="83"/>
      <c r="C38" s="83"/>
      <c r="E38" s="84"/>
      <c r="F38" s="85"/>
      <c r="G38" s="85"/>
      <c r="H38" s="86"/>
    </row>
    <row r="39" spans="1:9" ht="30" customHeight="1" x14ac:dyDescent="0.25">
      <c r="B39" s="83"/>
      <c r="C39" s="83"/>
      <c r="E39" s="84"/>
      <c r="F39" s="85"/>
      <c r="G39" s="85"/>
      <c r="H39" s="86"/>
    </row>
    <row r="40" spans="1:9" ht="30" customHeight="1" x14ac:dyDescent="0.25">
      <c r="B40" s="83"/>
      <c r="C40" s="83"/>
      <c r="E40" s="84"/>
      <c r="F40" s="85"/>
      <c r="G40" s="85"/>
      <c r="H40" s="86"/>
    </row>
    <row r="41" spans="1:9" ht="30" customHeight="1" x14ac:dyDescent="0.2">
      <c r="B41" s="83"/>
      <c r="C41" s="88"/>
      <c r="D41" s="292" t="s">
        <v>101</v>
      </c>
      <c r="E41" s="292"/>
      <c r="F41" s="292"/>
      <c r="G41" s="89"/>
      <c r="H41" s="90"/>
    </row>
    <row r="42" spans="1:9" ht="12.75" customHeight="1" x14ac:dyDescent="0.2"/>
    <row r="43" spans="1:9" ht="12.75" x14ac:dyDescent="0.2">
      <c r="A43" s="92"/>
      <c r="B43" s="91" t="s">
        <v>102</v>
      </c>
      <c r="C43" s="92"/>
      <c r="D43" s="92"/>
      <c r="E43" s="120"/>
      <c r="F43" s="121"/>
      <c r="G43" s="121"/>
      <c r="H43" s="93" t="s">
        <v>103</v>
      </c>
      <c r="I43" s="122"/>
    </row>
    <row r="44" spans="1:9" ht="14.25" customHeight="1" x14ac:dyDescent="0.2">
      <c r="A44" s="92"/>
      <c r="B44" s="94" t="s">
        <v>104</v>
      </c>
      <c r="C44" s="53"/>
      <c r="D44" s="53"/>
      <c r="E44" s="120"/>
      <c r="F44" s="120"/>
      <c r="G44" s="283">
        <f>H33</f>
        <v>128.69999999999999</v>
      </c>
      <c r="H44" s="283"/>
      <c r="I44" s="122"/>
    </row>
    <row r="45" spans="1:9" ht="14.25" customHeight="1" x14ac:dyDescent="0.2">
      <c r="A45" s="53"/>
      <c r="B45" s="94" t="s">
        <v>105</v>
      </c>
      <c r="C45" s="53"/>
      <c r="D45" s="53"/>
      <c r="E45" s="120"/>
      <c r="F45" s="120"/>
      <c r="G45" s="283"/>
      <c r="H45" s="283"/>
      <c r="I45" s="122"/>
    </row>
    <row r="46" spans="1:9" ht="14.25" x14ac:dyDescent="0.2">
      <c r="A46" s="53"/>
      <c r="B46" s="94" t="s">
        <v>106</v>
      </c>
      <c r="C46" s="53"/>
      <c r="D46" s="53"/>
      <c r="E46" s="95"/>
      <c r="F46" s="95"/>
      <c r="G46" s="95"/>
      <c r="H46" s="95"/>
      <c r="I46" s="95"/>
    </row>
    <row r="47" spans="1:9" ht="14.25" x14ac:dyDescent="0.2">
      <c r="A47" s="53"/>
      <c r="B47" s="94" t="s">
        <v>107</v>
      </c>
      <c r="C47" s="96"/>
      <c r="D47" s="96"/>
      <c r="E47" s="97"/>
      <c r="F47" s="97"/>
      <c r="G47" s="97"/>
      <c r="H47" s="97"/>
      <c r="I47" s="95"/>
    </row>
    <row r="48" spans="1:9" ht="53.25" customHeight="1" x14ac:dyDescent="0.2">
      <c r="B48" s="284"/>
      <c r="C48" s="278"/>
      <c r="D48" s="278"/>
      <c r="E48" s="278"/>
      <c r="F48" s="278"/>
      <c r="G48" s="278"/>
      <c r="H48" s="278"/>
    </row>
    <row r="52" spans="6:7" ht="15.75" customHeight="1" x14ac:dyDescent="0.2">
      <c r="F52" s="62"/>
      <c r="G52" s="62"/>
    </row>
    <row r="53" spans="6:7" ht="15.75" customHeight="1" x14ac:dyDescent="0.2">
      <c r="F53" s="62"/>
      <c r="G53" s="62"/>
    </row>
    <row r="54" spans="6:7" ht="15.75" customHeight="1" x14ac:dyDescent="0.2">
      <c r="F54" s="62"/>
      <c r="G54" s="62"/>
    </row>
    <row r="57" spans="6:7" ht="15.75" customHeight="1" x14ac:dyDescent="0.2">
      <c r="F57" s="62"/>
      <c r="G57" s="62"/>
    </row>
    <row r="59" spans="6:7" ht="15.75" customHeight="1" x14ac:dyDescent="0.2">
      <c r="F59" s="62"/>
      <c r="G59" s="62"/>
    </row>
  </sheetData>
  <mergeCells count="20">
    <mergeCell ref="G44:H45"/>
    <mergeCell ref="B48:H48"/>
    <mergeCell ref="C28:D28"/>
    <mergeCell ref="C29:D29"/>
    <mergeCell ref="C30:D30"/>
    <mergeCell ref="C32:D32"/>
    <mergeCell ref="C33:D33"/>
    <mergeCell ref="D41:F41"/>
    <mergeCell ref="C27:D27"/>
    <mergeCell ref="E3:H3"/>
    <mergeCell ref="B4:D6"/>
    <mergeCell ref="E4:H4"/>
    <mergeCell ref="E5:H5"/>
    <mergeCell ref="E6:H6"/>
    <mergeCell ref="B9:H9"/>
    <mergeCell ref="B18:E18"/>
    <mergeCell ref="B19:E19"/>
    <mergeCell ref="B20:E20"/>
    <mergeCell ref="B23:E23"/>
    <mergeCell ref="B24:H24"/>
  </mergeCells>
  <conditionalFormatting sqref="B26">
    <cfRule type="notContainsBlanks" dxfId="49" priority="1">
      <formula>LEN(TRIM(B26))&gt;0</formula>
    </cfRule>
  </conditionalFormatting>
  <hyperlinks>
    <hyperlink ref="B12" r:id="rId1" xr:uid="{985ED361-76E1-43E3-8E11-16320458D645}"/>
  </hyperlinks>
  <printOptions horizontalCentered="1" verticalCentered="1"/>
  <pageMargins left="0.11811023622047245" right="0.15748031496062992" top="0.39370078740157483" bottom="0.31496062992125984" header="0.31496062992125984" footer="0.15748031496062992"/>
  <pageSetup paperSize="9" scale="78" orientation="portrait" r:id="rId2"/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062A45-F347-44D4-9423-592B09BB6090}">
  <sheetPr codeName="Sheet11">
    <tabColor theme="4" tint="-0.249977111117893"/>
    <outlinePr summaryBelow="0" summaryRight="0"/>
    <pageSetUpPr fitToPage="1"/>
  </sheetPr>
  <dimension ref="A1:N57"/>
  <sheetViews>
    <sheetView showGridLines="0" zoomScale="110" zoomScaleNormal="110" workbookViewId="0">
      <selection activeCell="H11" sqref="H11"/>
    </sheetView>
  </sheetViews>
  <sheetFormatPr defaultColWidth="14.42578125" defaultRowHeight="15.75" customHeight="1" x14ac:dyDescent="0.2"/>
  <cols>
    <col min="1" max="1" width="2.85546875" style="55" customWidth="1"/>
    <col min="2" max="3" width="14.42578125" style="55"/>
    <col min="4" max="4" width="18.140625" style="55" customWidth="1"/>
    <col min="5" max="5" width="17.28515625" style="55" customWidth="1"/>
    <col min="6" max="6" width="15" style="55" customWidth="1"/>
    <col min="7" max="7" width="9.7109375" style="55" customWidth="1"/>
    <col min="8" max="8" width="13.7109375" style="55" bestFit="1" customWidth="1"/>
    <col min="9" max="9" width="3.28515625" style="55" customWidth="1"/>
    <col min="10" max="16384" width="14.42578125" style="55"/>
  </cols>
  <sheetData>
    <row r="1" spans="1:10" ht="39" customHeight="1" x14ac:dyDescent="0.2">
      <c r="A1" s="54"/>
      <c r="B1" s="54"/>
      <c r="C1" s="54"/>
      <c r="D1" s="54"/>
      <c r="E1" s="54"/>
      <c r="F1" s="54"/>
      <c r="G1" s="54"/>
      <c r="H1" s="54"/>
      <c r="I1" s="54"/>
    </row>
    <row r="2" spans="1:10" x14ac:dyDescent="0.25">
      <c r="A2" s="54"/>
      <c r="B2" s="56"/>
      <c r="C2" s="56"/>
      <c r="D2" s="56"/>
      <c r="E2" s="57"/>
      <c r="F2" s="57"/>
      <c r="G2" s="57"/>
      <c r="H2" s="57"/>
      <c r="I2" s="56"/>
    </row>
    <row r="3" spans="1:10" ht="12.75" x14ac:dyDescent="0.2">
      <c r="A3" s="54"/>
      <c r="B3" s="56"/>
      <c r="C3" s="56"/>
      <c r="D3" s="56"/>
      <c r="E3" s="273"/>
      <c r="F3" s="274"/>
      <c r="G3" s="274"/>
      <c r="H3" s="274"/>
      <c r="I3" s="56"/>
    </row>
    <row r="4" spans="1:10" ht="12.75" x14ac:dyDescent="0.2">
      <c r="A4" s="54"/>
      <c r="B4" s="275" t="s">
        <v>83</v>
      </c>
      <c r="C4" s="276"/>
      <c r="D4" s="276"/>
      <c r="E4" s="277"/>
      <c r="F4" s="274"/>
      <c r="G4" s="274"/>
      <c r="H4" s="274"/>
      <c r="I4" s="56"/>
    </row>
    <row r="5" spans="1:10" ht="12.75" x14ac:dyDescent="0.2">
      <c r="A5" s="54"/>
      <c r="B5" s="276"/>
      <c r="C5" s="276"/>
      <c r="D5" s="276"/>
      <c r="E5" s="277"/>
      <c r="F5" s="274"/>
      <c r="G5" s="274"/>
      <c r="H5" s="274"/>
      <c r="I5" s="56"/>
    </row>
    <row r="6" spans="1:10" ht="12.75" x14ac:dyDescent="0.2">
      <c r="A6" s="54"/>
      <c r="B6" s="276"/>
      <c r="C6" s="276"/>
      <c r="D6" s="276"/>
      <c r="E6" s="277"/>
      <c r="F6" s="274"/>
      <c r="G6" s="274"/>
      <c r="H6" s="274"/>
      <c r="I6" s="56"/>
    </row>
    <row r="7" spans="1:10" ht="36.75" customHeight="1" x14ac:dyDescent="0.2">
      <c r="A7" s="54"/>
      <c r="B7" s="54"/>
      <c r="C7" s="54"/>
      <c r="D7" s="54"/>
      <c r="E7" s="54"/>
      <c r="F7" s="54"/>
      <c r="G7" s="54"/>
      <c r="H7" s="54"/>
      <c r="I7" s="54"/>
    </row>
    <row r="8" spans="1:10" ht="12.75" x14ac:dyDescent="0.2">
      <c r="A8" s="58"/>
      <c r="B8" s="58"/>
      <c r="C8" s="58"/>
      <c r="D8" s="58"/>
      <c r="E8" s="58"/>
      <c r="F8" s="58"/>
      <c r="G8" s="58"/>
      <c r="H8" s="58"/>
      <c r="I8" s="58"/>
      <c r="J8" s="59"/>
    </row>
    <row r="9" spans="1:10" ht="12.75" x14ac:dyDescent="0.2">
      <c r="A9" s="58"/>
      <c r="B9" s="58"/>
      <c r="C9" s="58"/>
      <c r="D9" s="58"/>
      <c r="E9" s="58"/>
      <c r="F9" s="58"/>
      <c r="G9" s="58"/>
      <c r="H9" s="58"/>
      <c r="I9" s="58"/>
      <c r="J9" s="59"/>
    </row>
    <row r="10" spans="1:10" ht="15" customHeight="1" x14ac:dyDescent="0.2">
      <c r="A10" s="98"/>
      <c r="B10" s="60" t="s">
        <v>84</v>
      </c>
      <c r="G10" s="60"/>
      <c r="H10" s="61" t="s">
        <v>85</v>
      </c>
    </row>
    <row r="11" spans="1:10" ht="14.25" x14ac:dyDescent="0.2">
      <c r="A11" s="98"/>
      <c r="B11" s="62" t="s">
        <v>86</v>
      </c>
      <c r="G11" s="62"/>
      <c r="H11" s="63" t="str">
        <f>"AS"&amp;J11</f>
        <v>AS24</v>
      </c>
      <c r="J11" s="55">
        <v>24</v>
      </c>
    </row>
    <row r="12" spans="1:10" ht="15" x14ac:dyDescent="0.2">
      <c r="A12" s="98"/>
      <c r="B12" s="62" t="s">
        <v>87</v>
      </c>
      <c r="G12" s="60"/>
      <c r="H12" s="61" t="s">
        <v>88</v>
      </c>
      <c r="J12" s="55">
        <v>7</v>
      </c>
    </row>
    <row r="13" spans="1:10" ht="14.25" x14ac:dyDescent="0.2">
      <c r="A13" s="98"/>
      <c r="B13" s="62" t="s">
        <v>147</v>
      </c>
      <c r="G13" s="64"/>
      <c r="H13" s="65">
        <v>44947</v>
      </c>
    </row>
    <row r="14" spans="1:10" ht="15" x14ac:dyDescent="0.2">
      <c r="A14" s="98"/>
      <c r="G14" s="60"/>
      <c r="H14" s="131" t="s">
        <v>89</v>
      </c>
    </row>
    <row r="15" spans="1:10" ht="14.25" x14ac:dyDescent="0.2">
      <c r="A15" s="98"/>
      <c r="G15" s="64"/>
      <c r="H15" s="65">
        <f>H13+J12</f>
        <v>44954</v>
      </c>
    </row>
    <row r="16" spans="1:10" ht="14.25" x14ac:dyDescent="0.2">
      <c r="A16" s="98"/>
      <c r="B16" s="62"/>
      <c r="G16" s="65"/>
      <c r="H16" s="65"/>
    </row>
    <row r="17" spans="1:14" ht="14.25" x14ac:dyDescent="0.2">
      <c r="A17" s="98"/>
      <c r="F17" s="65"/>
      <c r="G17" s="65"/>
      <c r="H17" s="66"/>
    </row>
    <row r="18" spans="1:14" ht="22.5" customHeight="1" x14ac:dyDescent="0.2">
      <c r="A18" s="98"/>
      <c r="B18" s="279" t="s">
        <v>90</v>
      </c>
      <c r="C18" s="280"/>
      <c r="D18" s="280"/>
      <c r="E18" s="280"/>
      <c r="F18" s="65"/>
      <c r="G18" s="65"/>
      <c r="H18" s="66"/>
    </row>
    <row r="19" spans="1:14" ht="15" x14ac:dyDescent="0.2">
      <c r="A19" s="98"/>
      <c r="B19" s="295" t="s">
        <v>30</v>
      </c>
      <c r="C19" s="296"/>
      <c r="D19" s="296"/>
      <c r="E19" s="296"/>
      <c r="F19" s="65"/>
      <c r="G19" s="65"/>
      <c r="H19" s="66"/>
    </row>
    <row r="20" spans="1:14" ht="14.25" x14ac:dyDescent="0.2">
      <c r="A20" s="98"/>
      <c r="B20" s="297" t="s">
        <v>148</v>
      </c>
      <c r="C20" s="296"/>
      <c r="D20" s="296"/>
      <c r="E20" s="296"/>
      <c r="F20" s="65"/>
      <c r="G20" s="65"/>
      <c r="H20" s="66"/>
    </row>
    <row r="21" spans="1:14" ht="14.25" x14ac:dyDescent="0.2">
      <c r="A21" s="98"/>
      <c r="B21" s="62"/>
      <c r="C21" s="67"/>
      <c r="D21" s="67"/>
      <c r="E21" s="67"/>
      <c r="F21" s="65"/>
      <c r="G21" s="65"/>
      <c r="H21" s="66"/>
    </row>
    <row r="22" spans="1:14" ht="14.25" x14ac:dyDescent="0.2">
      <c r="A22" s="98"/>
      <c r="B22" s="62"/>
      <c r="C22" s="67"/>
      <c r="D22" s="67"/>
      <c r="E22" s="67"/>
      <c r="F22" s="65"/>
      <c r="G22" s="65"/>
      <c r="H22" s="66"/>
    </row>
    <row r="23" spans="1:14" ht="22.5" customHeight="1" x14ac:dyDescent="0.2">
      <c r="A23" s="98"/>
      <c r="B23" s="282"/>
      <c r="C23" s="280"/>
      <c r="D23" s="280"/>
      <c r="E23" s="280"/>
      <c r="F23" s="67"/>
      <c r="G23" s="67"/>
      <c r="H23" s="67"/>
    </row>
    <row r="24" spans="1:14" ht="27.75" customHeight="1" x14ac:dyDescent="0.2">
      <c r="B24" s="280"/>
      <c r="C24" s="280"/>
      <c r="D24" s="280"/>
      <c r="E24" s="280"/>
      <c r="F24" s="280"/>
      <c r="G24" s="280"/>
      <c r="H24" s="280"/>
    </row>
    <row r="25" spans="1:14" ht="14.25" x14ac:dyDescent="0.2">
      <c r="B25" s="67"/>
      <c r="C25" s="67"/>
      <c r="D25" s="67"/>
      <c r="E25" s="67"/>
      <c r="F25" s="67"/>
      <c r="G25" s="67"/>
      <c r="H25" s="67"/>
    </row>
    <row r="26" spans="1:14" ht="15.75" customHeight="1" x14ac:dyDescent="0.2">
      <c r="B26" s="67"/>
      <c r="C26" s="67"/>
      <c r="D26" s="67"/>
      <c r="E26" s="67"/>
      <c r="F26" s="67"/>
      <c r="G26" s="67"/>
      <c r="H26" s="67"/>
    </row>
    <row r="27" spans="1:14" ht="15" x14ac:dyDescent="0.25">
      <c r="B27" s="68" t="s">
        <v>88</v>
      </c>
      <c r="C27" s="272" t="s">
        <v>92</v>
      </c>
      <c r="D27" s="272"/>
      <c r="E27" s="70" t="s">
        <v>93</v>
      </c>
      <c r="F27" s="70" t="s">
        <v>129</v>
      </c>
      <c r="G27" s="70" t="s">
        <v>18</v>
      </c>
      <c r="H27" s="70" t="s">
        <v>95</v>
      </c>
    </row>
    <row r="28" spans="1:14" ht="31.5" customHeight="1" x14ac:dyDescent="0.2">
      <c r="B28" s="71">
        <v>44946</v>
      </c>
      <c r="C28" s="293" t="s">
        <v>130</v>
      </c>
      <c r="D28" s="294"/>
      <c r="E28" s="99">
        <v>40</v>
      </c>
      <c r="F28" s="108">
        <v>2</v>
      </c>
      <c r="G28" s="101">
        <v>0.1</v>
      </c>
      <c r="H28" s="99">
        <f>E28*F28</f>
        <v>80</v>
      </c>
    </row>
    <row r="29" spans="1:14" ht="19.5" customHeight="1" x14ac:dyDescent="0.2">
      <c r="B29" s="102"/>
      <c r="C29" s="286"/>
      <c r="D29" s="287"/>
      <c r="E29" s="77"/>
      <c r="F29" s="103"/>
      <c r="G29" s="103"/>
      <c r="H29" s="77"/>
    </row>
    <row r="30" spans="1:14" ht="30" customHeight="1" x14ac:dyDescent="0.2">
      <c r="B30" s="72"/>
      <c r="C30" s="290"/>
      <c r="D30" s="280"/>
      <c r="E30" s="63"/>
      <c r="F30" s="79"/>
      <c r="G30" s="79" t="s">
        <v>97</v>
      </c>
      <c r="H30" s="80">
        <f>SUM(H28:H29)</f>
        <v>80</v>
      </c>
    </row>
    <row r="31" spans="1:14" ht="30" customHeight="1" x14ac:dyDescent="0.2">
      <c r="B31" s="72"/>
      <c r="C31" s="72"/>
      <c r="D31" s="67"/>
      <c r="E31" s="63"/>
      <c r="F31" s="79"/>
      <c r="G31" s="79" t="s">
        <v>113</v>
      </c>
      <c r="H31" s="80">
        <f>H30*0.1</f>
        <v>8</v>
      </c>
    </row>
    <row r="32" spans="1:14" ht="30" customHeight="1" x14ac:dyDescent="0.2">
      <c r="B32" s="72"/>
      <c r="C32" s="290"/>
      <c r="D32" s="280"/>
      <c r="E32" s="63"/>
      <c r="F32" s="81"/>
      <c r="G32" s="81" t="s">
        <v>99</v>
      </c>
      <c r="H32" s="82">
        <v>0</v>
      </c>
      <c r="N32" s="113"/>
    </row>
    <row r="33" spans="1:14" ht="30" customHeight="1" x14ac:dyDescent="0.25">
      <c r="B33" s="83"/>
      <c r="C33" s="291"/>
      <c r="D33" s="278"/>
      <c r="E33" s="84"/>
      <c r="F33" s="85"/>
      <c r="G33" s="85" t="s">
        <v>100</v>
      </c>
      <c r="H33" s="86">
        <f>SUM(H30:H32)</f>
        <v>88</v>
      </c>
      <c r="N33" s="113"/>
    </row>
    <row r="34" spans="1:14" ht="30" customHeight="1" x14ac:dyDescent="0.25">
      <c r="B34" s="83"/>
      <c r="C34" s="83"/>
      <c r="E34" s="84"/>
      <c r="F34" s="85"/>
      <c r="G34" s="85"/>
      <c r="H34" s="87"/>
    </row>
    <row r="35" spans="1:14" ht="30" customHeight="1" x14ac:dyDescent="0.25">
      <c r="B35" s="83"/>
      <c r="C35" s="83"/>
      <c r="E35" s="84"/>
      <c r="F35" s="85"/>
      <c r="G35" s="85"/>
      <c r="H35" s="86"/>
    </row>
    <row r="36" spans="1:14" ht="30" customHeight="1" x14ac:dyDescent="0.25">
      <c r="B36" s="83"/>
      <c r="C36" s="83"/>
      <c r="E36" s="84"/>
      <c r="F36" s="85"/>
      <c r="G36" s="85"/>
      <c r="H36" s="86"/>
    </row>
    <row r="37" spans="1:14" ht="30" customHeight="1" x14ac:dyDescent="0.25">
      <c r="B37" s="83"/>
      <c r="C37" s="83"/>
      <c r="E37" s="84"/>
      <c r="F37" s="85"/>
      <c r="G37" s="85"/>
      <c r="H37" s="86"/>
    </row>
    <row r="38" spans="1:14" ht="30" customHeight="1" x14ac:dyDescent="0.25">
      <c r="B38" s="83"/>
      <c r="C38" s="83"/>
      <c r="E38" s="84"/>
      <c r="F38" s="85"/>
      <c r="G38" s="85"/>
      <c r="H38" s="86"/>
    </row>
    <row r="39" spans="1:14" ht="30" customHeight="1" x14ac:dyDescent="0.2">
      <c r="B39" s="83"/>
      <c r="C39" s="88"/>
      <c r="D39" s="292" t="s">
        <v>101</v>
      </c>
      <c r="E39" s="292"/>
      <c r="F39" s="292"/>
      <c r="G39" s="89"/>
      <c r="H39" s="90"/>
    </row>
    <row r="40" spans="1:14" ht="12.75" customHeight="1" x14ac:dyDescent="0.2"/>
    <row r="41" spans="1:14" ht="12.75" x14ac:dyDescent="0.2">
      <c r="A41" s="92"/>
      <c r="B41" s="91" t="s">
        <v>102</v>
      </c>
      <c r="C41" s="92"/>
      <c r="D41" s="92"/>
      <c r="E41" s="104"/>
      <c r="F41" s="95"/>
      <c r="G41" s="95"/>
      <c r="H41" s="105" t="s">
        <v>103</v>
      </c>
      <c r="I41" s="106"/>
    </row>
    <row r="42" spans="1:14" ht="14.25" customHeight="1" x14ac:dyDescent="0.2">
      <c r="A42" s="92"/>
      <c r="B42" s="94" t="s">
        <v>104</v>
      </c>
      <c r="C42" s="53"/>
      <c r="D42" s="53"/>
      <c r="E42" s="104"/>
      <c r="F42" s="104"/>
      <c r="G42" s="283">
        <f>H33</f>
        <v>88</v>
      </c>
      <c r="H42" s="283"/>
      <c r="I42" s="298"/>
    </row>
    <row r="43" spans="1:14" ht="14.25" x14ac:dyDescent="0.2">
      <c r="A43" s="53"/>
      <c r="B43" s="94" t="s">
        <v>105</v>
      </c>
      <c r="C43" s="53"/>
      <c r="D43" s="53"/>
      <c r="E43" s="104"/>
      <c r="F43" s="104"/>
      <c r="G43" s="283"/>
      <c r="H43" s="283"/>
      <c r="I43" s="298"/>
    </row>
    <row r="44" spans="1:14" ht="14.25" x14ac:dyDescent="0.2">
      <c r="A44" s="53"/>
      <c r="B44" s="94" t="s">
        <v>106</v>
      </c>
      <c r="C44" s="53"/>
      <c r="D44" s="53"/>
      <c r="E44" s="95"/>
      <c r="F44" s="95"/>
      <c r="G44" s="95"/>
      <c r="H44" s="95"/>
      <c r="I44" s="95"/>
    </row>
    <row r="45" spans="1:14" ht="14.25" x14ac:dyDescent="0.2">
      <c r="A45" s="53"/>
      <c r="B45" s="94" t="s">
        <v>107</v>
      </c>
      <c r="C45" s="96"/>
      <c r="D45" s="96"/>
      <c r="E45" s="97"/>
      <c r="F45" s="97"/>
      <c r="G45" s="97"/>
      <c r="H45" s="97"/>
      <c r="I45" s="95"/>
    </row>
    <row r="46" spans="1:14" ht="53.25" customHeight="1" x14ac:dyDescent="0.2">
      <c r="B46" s="284"/>
      <c r="C46" s="278"/>
      <c r="D46" s="278"/>
      <c r="E46" s="278"/>
      <c r="F46" s="278"/>
      <c r="G46" s="278"/>
      <c r="H46" s="278"/>
    </row>
    <row r="50" spans="6:7" ht="15.75" customHeight="1" x14ac:dyDescent="0.2">
      <c r="F50" s="62"/>
      <c r="G50" s="62"/>
    </row>
    <row r="51" spans="6:7" ht="15.75" customHeight="1" x14ac:dyDescent="0.2">
      <c r="F51" s="62"/>
      <c r="G51" s="62"/>
    </row>
    <row r="52" spans="6:7" ht="15.75" customHeight="1" x14ac:dyDescent="0.2">
      <c r="F52" s="62"/>
      <c r="G52" s="62"/>
    </row>
    <row r="55" spans="6:7" ht="15.75" customHeight="1" x14ac:dyDescent="0.2">
      <c r="F55" s="62"/>
      <c r="G55" s="62"/>
    </row>
    <row r="57" spans="6:7" ht="15.75" customHeight="1" x14ac:dyDescent="0.2">
      <c r="F57" s="62"/>
      <c r="G57" s="62"/>
    </row>
  </sheetData>
  <mergeCells count="20">
    <mergeCell ref="I42:I43"/>
    <mergeCell ref="B46:H46"/>
    <mergeCell ref="C29:D29"/>
    <mergeCell ref="C30:D30"/>
    <mergeCell ref="C32:D32"/>
    <mergeCell ref="C33:D33"/>
    <mergeCell ref="D39:F39"/>
    <mergeCell ref="G42:H43"/>
    <mergeCell ref="C28:D28"/>
    <mergeCell ref="E3:H3"/>
    <mergeCell ref="B4:D6"/>
    <mergeCell ref="E4:H4"/>
    <mergeCell ref="E5:H5"/>
    <mergeCell ref="E6:H6"/>
    <mergeCell ref="B18:E18"/>
    <mergeCell ref="B19:E19"/>
    <mergeCell ref="B20:E20"/>
    <mergeCell ref="B23:E23"/>
    <mergeCell ref="B24:H24"/>
    <mergeCell ref="C27:D27"/>
  </mergeCells>
  <conditionalFormatting sqref="B26">
    <cfRule type="notContainsBlanks" dxfId="48" priority="1">
      <formula>LEN(TRIM(B26))&gt;0</formula>
    </cfRule>
  </conditionalFormatting>
  <hyperlinks>
    <hyperlink ref="B12" r:id="rId1" xr:uid="{898F7ABF-703C-4301-88ED-27BAF4D45618}"/>
  </hyperlinks>
  <printOptions horizontalCentered="1" verticalCentered="1"/>
  <pageMargins left="0.13" right="7.0000000000000007E-2" top="0.19685039370078741" bottom="0.19685039370078741" header="0.31496062992125984" footer="0.31496062992125984"/>
  <pageSetup paperSize="9" scale="94" orientation="portrait" r:id="rId2"/>
  <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612A0F-2EE3-430D-83A6-EA2D34C5C6EA}">
  <sheetPr codeName="Sheet12">
    <tabColor theme="4" tint="-0.249977111117893"/>
    <outlinePr summaryBelow="0" summaryRight="0"/>
    <pageSetUpPr fitToPage="1"/>
  </sheetPr>
  <dimension ref="A1:K58"/>
  <sheetViews>
    <sheetView showGridLines="0" zoomScale="120" zoomScaleNormal="120" workbookViewId="0">
      <selection activeCell="H11" sqref="H11"/>
    </sheetView>
  </sheetViews>
  <sheetFormatPr defaultColWidth="14.42578125" defaultRowHeight="15.75" customHeight="1" x14ac:dyDescent="0.2"/>
  <cols>
    <col min="1" max="1" width="2.85546875" style="55" customWidth="1"/>
    <col min="2" max="3" width="14.42578125" style="55"/>
    <col min="4" max="4" width="37.28515625" style="55" customWidth="1"/>
    <col min="5" max="5" width="18.140625" style="55" bestFit="1" customWidth="1"/>
    <col min="6" max="6" width="15.140625" style="55" customWidth="1"/>
    <col min="7" max="7" width="9.7109375" style="55" customWidth="1"/>
    <col min="8" max="8" width="13.7109375" style="55" bestFit="1" customWidth="1"/>
    <col min="9" max="9" width="3.28515625" style="55" customWidth="1"/>
    <col min="10" max="16384" width="14.42578125" style="55"/>
  </cols>
  <sheetData>
    <row r="1" spans="1:11" ht="39" customHeight="1" x14ac:dyDescent="0.2">
      <c r="A1" s="54"/>
      <c r="B1" s="54"/>
      <c r="C1" s="54"/>
      <c r="D1" s="54"/>
      <c r="E1" s="54"/>
      <c r="F1" s="54"/>
      <c r="G1" s="54"/>
      <c r="H1" s="54"/>
      <c r="I1" s="54"/>
    </row>
    <row r="2" spans="1:11" x14ac:dyDescent="0.25">
      <c r="A2" s="54"/>
      <c r="B2" s="56"/>
      <c r="C2" s="56"/>
      <c r="D2" s="56"/>
      <c r="E2" s="57"/>
      <c r="F2" s="57"/>
      <c r="G2" s="57"/>
      <c r="H2" s="57"/>
      <c r="I2" s="56"/>
    </row>
    <row r="3" spans="1:11" ht="12.75" x14ac:dyDescent="0.2">
      <c r="A3" s="54"/>
      <c r="B3" s="56"/>
      <c r="C3" s="56"/>
      <c r="D3" s="56"/>
      <c r="E3" s="273"/>
      <c r="F3" s="274"/>
      <c r="G3" s="274"/>
      <c r="H3" s="274"/>
      <c r="I3" s="56"/>
    </row>
    <row r="4" spans="1:11" ht="12.75" x14ac:dyDescent="0.2">
      <c r="A4" s="54"/>
      <c r="B4" s="275" t="s">
        <v>83</v>
      </c>
      <c r="C4" s="276"/>
      <c r="D4" s="276"/>
      <c r="E4" s="277"/>
      <c r="F4" s="274"/>
      <c r="G4" s="274"/>
      <c r="H4" s="274"/>
      <c r="I4" s="56"/>
    </row>
    <row r="5" spans="1:11" ht="12.75" x14ac:dyDescent="0.2">
      <c r="A5" s="54"/>
      <c r="B5" s="276"/>
      <c r="C5" s="276"/>
      <c r="D5" s="276"/>
      <c r="E5" s="277"/>
      <c r="F5" s="274"/>
      <c r="G5" s="274"/>
      <c r="H5" s="274"/>
      <c r="I5" s="56"/>
    </row>
    <row r="6" spans="1:11" ht="12.75" x14ac:dyDescent="0.2">
      <c r="A6" s="54"/>
      <c r="B6" s="276"/>
      <c r="C6" s="276"/>
      <c r="D6" s="276"/>
      <c r="E6" s="277"/>
      <c r="F6" s="274"/>
      <c r="G6" s="274"/>
      <c r="H6" s="274"/>
      <c r="I6" s="56"/>
    </row>
    <row r="7" spans="1:11" ht="36.75" customHeight="1" x14ac:dyDescent="0.2">
      <c r="A7" s="54"/>
      <c r="B7" s="54"/>
      <c r="C7" s="54"/>
      <c r="D7" s="54"/>
      <c r="E7" s="54"/>
      <c r="F7" s="54"/>
      <c r="G7" s="54"/>
      <c r="H7" s="54"/>
      <c r="I7" s="54"/>
    </row>
    <row r="8" spans="1:11" ht="21.75" customHeight="1" x14ac:dyDescent="0.2">
      <c r="A8" s="58"/>
      <c r="B8" s="58"/>
      <c r="C8" s="58"/>
      <c r="D8" s="58"/>
      <c r="E8" s="58"/>
      <c r="F8" s="58"/>
      <c r="G8" s="58"/>
      <c r="H8" s="58"/>
      <c r="I8" s="58"/>
      <c r="J8" s="59"/>
    </row>
    <row r="9" spans="1:11" ht="15.75" customHeight="1" x14ac:dyDescent="0.2">
      <c r="B9" s="278"/>
      <c r="C9" s="278"/>
      <c r="D9" s="278"/>
      <c r="E9" s="278"/>
      <c r="F9" s="278"/>
      <c r="G9" s="278"/>
      <c r="H9" s="278"/>
      <c r="K9" s="116" t="s">
        <v>149</v>
      </c>
    </row>
    <row r="10" spans="1:11" ht="15" customHeight="1" x14ac:dyDescent="0.2">
      <c r="A10" s="98"/>
      <c r="B10" s="60" t="s">
        <v>84</v>
      </c>
      <c r="G10" s="60"/>
      <c r="H10" s="61" t="s">
        <v>85</v>
      </c>
    </row>
    <row r="11" spans="1:11" ht="14.25" x14ac:dyDescent="0.2">
      <c r="A11" s="98"/>
      <c r="B11" s="62" t="s">
        <v>86</v>
      </c>
      <c r="G11" s="62"/>
      <c r="H11" s="63" t="str">
        <f>"AN"&amp;J11</f>
        <v>AN1021</v>
      </c>
      <c r="J11" s="55">
        <v>1021</v>
      </c>
    </row>
    <row r="12" spans="1:11" ht="15" x14ac:dyDescent="0.2">
      <c r="A12" s="98"/>
      <c r="B12" s="62" t="s">
        <v>87</v>
      </c>
      <c r="G12" s="60"/>
      <c r="H12" s="61" t="s">
        <v>88</v>
      </c>
      <c r="J12" s="55">
        <v>7</v>
      </c>
    </row>
    <row r="13" spans="1:11" ht="14.25" x14ac:dyDescent="0.2">
      <c r="A13" s="98"/>
      <c r="B13" s="62"/>
      <c r="G13" s="64"/>
      <c r="H13" s="65">
        <v>44951</v>
      </c>
    </row>
    <row r="14" spans="1:11" ht="15" x14ac:dyDescent="0.2">
      <c r="A14" s="98"/>
      <c r="G14" s="60"/>
      <c r="H14" s="61" t="s">
        <v>89</v>
      </c>
    </row>
    <row r="15" spans="1:11" ht="14.25" x14ac:dyDescent="0.2">
      <c r="A15" s="98"/>
      <c r="G15" s="64"/>
      <c r="H15" s="65">
        <f>H13+J12</f>
        <v>44958</v>
      </c>
    </row>
    <row r="16" spans="1:11" ht="14.25" x14ac:dyDescent="0.2">
      <c r="A16" s="98"/>
      <c r="B16" s="62"/>
      <c r="G16" s="65"/>
      <c r="H16" s="65"/>
    </row>
    <row r="17" spans="1:11" ht="14.25" x14ac:dyDescent="0.2">
      <c r="A17" s="98"/>
      <c r="F17" s="65"/>
      <c r="G17" s="65"/>
      <c r="H17" s="66"/>
    </row>
    <row r="18" spans="1:11" ht="22.5" customHeight="1" x14ac:dyDescent="0.2">
      <c r="A18" s="98"/>
      <c r="B18" s="279" t="s">
        <v>90</v>
      </c>
      <c r="C18" s="280"/>
      <c r="D18" s="280"/>
      <c r="E18" s="280"/>
      <c r="F18" s="65"/>
      <c r="G18" s="65"/>
      <c r="H18" s="66"/>
    </row>
    <row r="19" spans="1:11" ht="15" x14ac:dyDescent="0.2">
      <c r="A19" s="98"/>
      <c r="B19" s="295" t="s">
        <v>150</v>
      </c>
      <c r="C19" s="296"/>
      <c r="D19" s="296"/>
      <c r="E19" s="296"/>
      <c r="F19" s="65"/>
      <c r="G19" s="65"/>
      <c r="H19" s="66"/>
    </row>
    <row r="20" spans="1:11" ht="14.25" x14ac:dyDescent="0.2">
      <c r="A20" s="98"/>
      <c r="B20" s="301" t="s">
        <v>151</v>
      </c>
      <c r="C20" s="296"/>
      <c r="D20" s="296"/>
      <c r="E20" s="296"/>
      <c r="F20" s="65"/>
      <c r="G20" s="65"/>
      <c r="H20" s="66"/>
    </row>
    <row r="21" spans="1:11" ht="14.25" x14ac:dyDescent="0.2">
      <c r="A21" s="98"/>
      <c r="B21" s="62"/>
      <c r="C21" s="67"/>
      <c r="D21" s="67"/>
      <c r="E21" s="67"/>
      <c r="F21" s="65"/>
      <c r="G21" s="65"/>
      <c r="H21" s="66"/>
    </row>
    <row r="22" spans="1:11" ht="15" x14ac:dyDescent="0.25">
      <c r="A22" s="98"/>
      <c r="B22" s="62"/>
      <c r="C22" s="67"/>
      <c r="D22" s="67"/>
      <c r="E22" s="67"/>
      <c r="F22" s="65"/>
      <c r="G22" s="65"/>
      <c r="H22" s="66"/>
      <c r="K22" s="112">
        <f>28/33</f>
        <v>0.84848484848484851</v>
      </c>
    </row>
    <row r="23" spans="1:11" ht="22.5" customHeight="1" x14ac:dyDescent="0.2">
      <c r="A23" s="98"/>
      <c r="B23" s="282"/>
      <c r="C23" s="280"/>
      <c r="D23" s="280"/>
      <c r="E23" s="280"/>
      <c r="F23" s="67"/>
      <c r="G23" s="67"/>
      <c r="H23" s="67"/>
    </row>
    <row r="24" spans="1:11" ht="27.75" customHeight="1" x14ac:dyDescent="0.2">
      <c r="B24" s="280"/>
      <c r="C24" s="280"/>
      <c r="D24" s="280"/>
      <c r="E24" s="280"/>
      <c r="F24" s="280"/>
      <c r="G24" s="280"/>
      <c r="H24" s="280"/>
    </row>
    <row r="25" spans="1:11" ht="27.75" customHeight="1" x14ac:dyDescent="0.2">
      <c r="B25" s="67"/>
      <c r="C25" s="67"/>
      <c r="D25" s="67"/>
      <c r="E25" s="67"/>
      <c r="F25" s="67"/>
      <c r="G25" s="67"/>
      <c r="H25" s="67"/>
    </row>
    <row r="26" spans="1:11" ht="15.75" customHeight="1" x14ac:dyDescent="0.2">
      <c r="B26" s="67"/>
      <c r="C26" s="67"/>
      <c r="D26" s="67"/>
      <c r="E26" s="67"/>
      <c r="F26" s="67"/>
      <c r="G26" s="67"/>
      <c r="H26" s="67"/>
    </row>
    <row r="27" spans="1:11" ht="15" x14ac:dyDescent="0.25">
      <c r="B27" s="68" t="s">
        <v>88</v>
      </c>
      <c r="C27" s="272" t="s">
        <v>92</v>
      </c>
      <c r="D27" s="272"/>
      <c r="E27" s="70" t="s">
        <v>110</v>
      </c>
      <c r="F27" s="70" t="s">
        <v>111</v>
      </c>
      <c r="G27" s="70" t="s">
        <v>18</v>
      </c>
      <c r="H27" s="70" t="s">
        <v>95</v>
      </c>
      <c r="J27" s="132"/>
    </row>
    <row r="28" spans="1:11" ht="31.5" customHeight="1" x14ac:dyDescent="0.2">
      <c r="B28" s="71">
        <v>44950</v>
      </c>
      <c r="C28" s="293" t="s">
        <v>130</v>
      </c>
      <c r="D28" s="294"/>
      <c r="E28" s="99">
        <v>38</v>
      </c>
      <c r="F28" s="100">
        <v>3</v>
      </c>
      <c r="G28" s="101">
        <v>0.1</v>
      </c>
      <c r="H28" s="99">
        <f>E28*F28</f>
        <v>114</v>
      </c>
    </row>
    <row r="29" spans="1:11" ht="27" customHeight="1" x14ac:dyDescent="0.2">
      <c r="B29" s="102"/>
      <c r="C29" s="286"/>
      <c r="D29" s="287"/>
      <c r="E29" s="77"/>
      <c r="F29" s="133"/>
      <c r="G29" s="134"/>
      <c r="H29" s="135"/>
    </row>
    <row r="30" spans="1:11" ht="30" customHeight="1" x14ac:dyDescent="0.2">
      <c r="B30" s="72"/>
      <c r="C30" s="290"/>
      <c r="D30" s="280"/>
      <c r="E30" s="63"/>
      <c r="F30" s="79"/>
      <c r="G30" s="79" t="s">
        <v>97</v>
      </c>
      <c r="H30" s="80">
        <f>SUM(H28:H29)</f>
        <v>114</v>
      </c>
    </row>
    <row r="31" spans="1:11" ht="30" customHeight="1" x14ac:dyDescent="0.2">
      <c r="B31" s="72"/>
      <c r="C31" s="72"/>
      <c r="D31" s="67"/>
      <c r="E31" s="63"/>
      <c r="F31" s="79"/>
      <c r="G31" s="79" t="s">
        <v>113</v>
      </c>
      <c r="H31" s="80">
        <f>G28*H30</f>
        <v>11.4</v>
      </c>
    </row>
    <row r="32" spans="1:11" ht="30" customHeight="1" x14ac:dyDescent="0.2">
      <c r="B32" s="72"/>
      <c r="C32" s="290"/>
      <c r="D32" s="280"/>
      <c r="E32" s="63"/>
      <c r="F32" s="81"/>
      <c r="G32" s="81" t="s">
        <v>99</v>
      </c>
      <c r="H32" s="82">
        <v>0</v>
      </c>
    </row>
    <row r="33" spans="1:9" ht="30" customHeight="1" x14ac:dyDescent="0.25">
      <c r="B33" s="83"/>
      <c r="C33" s="291"/>
      <c r="D33" s="278"/>
      <c r="E33" s="84"/>
      <c r="F33" s="85"/>
      <c r="G33" s="85" t="s">
        <v>100</v>
      </c>
      <c r="H33" s="86">
        <f>SUM(H30:H32)</f>
        <v>125.4</v>
      </c>
    </row>
    <row r="34" spans="1:9" ht="30" customHeight="1" x14ac:dyDescent="0.25">
      <c r="B34" s="83"/>
      <c r="C34" s="83"/>
      <c r="E34" s="84"/>
      <c r="F34" s="85"/>
      <c r="G34" s="85"/>
      <c r="H34" s="87"/>
    </row>
    <row r="35" spans="1:9" ht="30" customHeight="1" x14ac:dyDescent="0.25">
      <c r="B35" s="83"/>
      <c r="C35" s="83"/>
      <c r="E35" s="84"/>
      <c r="F35" s="85"/>
      <c r="G35" s="85"/>
      <c r="H35" s="86"/>
    </row>
    <row r="36" spans="1:9" ht="30" customHeight="1" x14ac:dyDescent="0.25">
      <c r="B36" s="83"/>
      <c r="C36" s="83"/>
      <c r="E36" s="84"/>
      <c r="F36" s="85"/>
      <c r="G36" s="85"/>
      <c r="H36" s="86"/>
    </row>
    <row r="37" spans="1:9" ht="30" customHeight="1" x14ac:dyDescent="0.25">
      <c r="B37" s="83"/>
      <c r="C37" s="83"/>
      <c r="E37" s="84"/>
      <c r="F37" s="85"/>
      <c r="G37" s="85"/>
      <c r="H37" s="86"/>
    </row>
    <row r="38" spans="1:9" ht="30" customHeight="1" x14ac:dyDescent="0.25">
      <c r="B38" s="83"/>
      <c r="C38" s="83"/>
      <c r="E38" s="84"/>
      <c r="F38" s="85"/>
      <c r="G38" s="85"/>
      <c r="H38" s="86"/>
    </row>
    <row r="39" spans="1:9" ht="30" customHeight="1" x14ac:dyDescent="0.25">
      <c r="B39" s="83"/>
      <c r="C39" s="83"/>
      <c r="E39" s="84"/>
      <c r="F39" s="85"/>
      <c r="G39" s="85"/>
      <c r="H39" s="86"/>
    </row>
    <row r="40" spans="1:9" ht="30" customHeight="1" x14ac:dyDescent="0.2">
      <c r="B40" s="83"/>
      <c r="C40" s="88"/>
      <c r="D40" s="292" t="s">
        <v>101</v>
      </c>
      <c r="E40" s="292"/>
      <c r="F40" s="292"/>
      <c r="G40" s="89"/>
      <c r="H40" s="90"/>
    </row>
    <row r="41" spans="1:9" ht="12.75" customHeight="1" x14ac:dyDescent="0.2"/>
    <row r="42" spans="1:9" ht="12.75" x14ac:dyDescent="0.2">
      <c r="A42" s="92"/>
      <c r="B42" s="91" t="s">
        <v>102</v>
      </c>
      <c r="C42" s="92"/>
      <c r="D42" s="92"/>
      <c r="E42" s="104"/>
      <c r="F42" s="95"/>
      <c r="G42" s="95"/>
      <c r="H42" s="105" t="s">
        <v>103</v>
      </c>
      <c r="I42" s="106"/>
    </row>
    <row r="43" spans="1:9" ht="14.25" customHeight="1" x14ac:dyDescent="0.2">
      <c r="A43" s="92"/>
      <c r="B43" s="94" t="s">
        <v>104</v>
      </c>
      <c r="C43" s="53"/>
      <c r="D43" s="53"/>
      <c r="E43" s="104"/>
      <c r="F43" s="104"/>
      <c r="G43" s="283">
        <f>H33</f>
        <v>125.4</v>
      </c>
      <c r="H43" s="283"/>
      <c r="I43" s="298"/>
    </row>
    <row r="44" spans="1:9" ht="14.25" x14ac:dyDescent="0.2">
      <c r="A44" s="53"/>
      <c r="B44" s="94" t="s">
        <v>106</v>
      </c>
      <c r="C44" s="53"/>
      <c r="D44" s="53"/>
      <c r="E44" s="104"/>
      <c r="F44" s="104"/>
      <c r="G44" s="283"/>
      <c r="H44" s="283"/>
      <c r="I44" s="298"/>
    </row>
    <row r="45" spans="1:9" ht="14.25" x14ac:dyDescent="0.2">
      <c r="A45" s="53"/>
      <c r="B45" s="94" t="s">
        <v>107</v>
      </c>
      <c r="C45" s="53"/>
      <c r="D45" s="53"/>
      <c r="E45" s="95"/>
      <c r="F45" s="95"/>
      <c r="G45" s="95"/>
      <c r="H45" s="95"/>
      <c r="I45" s="95"/>
    </row>
    <row r="46" spans="1:9" ht="14.25" x14ac:dyDescent="0.2">
      <c r="A46" s="53"/>
      <c r="B46" s="94" t="s">
        <v>114</v>
      </c>
      <c r="C46" s="96"/>
      <c r="D46" s="96"/>
      <c r="E46" s="97"/>
      <c r="F46" s="97"/>
      <c r="G46" s="97"/>
      <c r="H46" s="97"/>
      <c r="I46" s="95"/>
    </row>
    <row r="47" spans="1:9" ht="53.25" customHeight="1" x14ac:dyDescent="0.2">
      <c r="B47" s="284"/>
      <c r="C47" s="278"/>
      <c r="D47" s="278"/>
      <c r="E47" s="278"/>
      <c r="F47" s="278"/>
      <c r="G47" s="278"/>
      <c r="H47" s="278"/>
    </row>
    <row r="51" spans="6:7" ht="15.75" customHeight="1" x14ac:dyDescent="0.2">
      <c r="F51" s="62"/>
      <c r="G51" s="62"/>
    </row>
    <row r="52" spans="6:7" ht="15.75" customHeight="1" x14ac:dyDescent="0.2">
      <c r="F52" s="62"/>
      <c r="G52" s="62"/>
    </row>
    <row r="53" spans="6:7" ht="15.75" customHeight="1" x14ac:dyDescent="0.2">
      <c r="F53" s="62"/>
      <c r="G53" s="62"/>
    </row>
    <row r="56" spans="6:7" ht="15.75" customHeight="1" x14ac:dyDescent="0.2">
      <c r="F56" s="62"/>
      <c r="G56" s="62"/>
    </row>
    <row r="58" spans="6:7" ht="15.75" customHeight="1" x14ac:dyDescent="0.2">
      <c r="F58" s="62"/>
      <c r="G58" s="62"/>
    </row>
  </sheetData>
  <mergeCells count="21">
    <mergeCell ref="G43:H44"/>
    <mergeCell ref="I43:I44"/>
    <mergeCell ref="B47:H47"/>
    <mergeCell ref="C28:D28"/>
    <mergeCell ref="C29:D29"/>
    <mergeCell ref="C30:D30"/>
    <mergeCell ref="C32:D32"/>
    <mergeCell ref="C33:D33"/>
    <mergeCell ref="D40:F40"/>
    <mergeCell ref="C27:D27"/>
    <mergeCell ref="E3:H3"/>
    <mergeCell ref="B4:D6"/>
    <mergeCell ref="E4:H4"/>
    <mergeCell ref="E5:H5"/>
    <mergeCell ref="E6:H6"/>
    <mergeCell ref="B9:H9"/>
    <mergeCell ref="B18:E18"/>
    <mergeCell ref="B19:E19"/>
    <mergeCell ref="B20:E20"/>
    <mergeCell ref="B23:E23"/>
    <mergeCell ref="B24:H24"/>
  </mergeCells>
  <conditionalFormatting sqref="B26">
    <cfRule type="notContainsBlanks" dxfId="47" priority="1">
      <formula>LEN(TRIM(B26))&gt;0</formula>
    </cfRule>
  </conditionalFormatting>
  <hyperlinks>
    <hyperlink ref="B12" r:id="rId1" xr:uid="{97316703-1BDF-428D-9A68-985113E5C2C0}"/>
    <hyperlink ref="K9" r:id="rId2" xr:uid="{7D33D57F-581F-4D3F-95DA-77691D2C2075}"/>
  </hyperlinks>
  <printOptions horizontalCentered="1" verticalCentered="1"/>
  <pageMargins left="0.13" right="7.0000000000000007E-2" top="0.19685039370078741" bottom="0.19685039370078741" header="0.31496062992125984" footer="0.31496062992125984"/>
  <pageSetup paperSize="9" scale="79" orientation="portrait" r:id="rId3"/>
  <drawing r:id="rId4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F51BC-EF48-414D-B179-E04B8456FC73}">
  <sheetPr codeName="Sheet13">
    <tabColor theme="4" tint="-0.249977111117893"/>
    <outlinePr summaryBelow="0" summaryRight="0"/>
    <pageSetUpPr fitToPage="1"/>
  </sheetPr>
  <dimension ref="A1:K58"/>
  <sheetViews>
    <sheetView showGridLines="0" topLeftCell="A19" zoomScale="130" zoomScaleNormal="130" workbookViewId="0">
      <selection activeCell="C29" sqref="C29:D29"/>
    </sheetView>
  </sheetViews>
  <sheetFormatPr defaultColWidth="14.42578125" defaultRowHeight="15.75" customHeight="1" x14ac:dyDescent="0.2"/>
  <cols>
    <col min="1" max="1" width="2.85546875" style="55" customWidth="1"/>
    <col min="2" max="3" width="14.42578125" style="55"/>
    <col min="4" max="4" width="18.140625" style="55" customWidth="1"/>
    <col min="5" max="5" width="18.140625" style="55" bestFit="1" customWidth="1"/>
    <col min="6" max="6" width="15.140625" style="55" customWidth="1"/>
    <col min="7" max="7" width="9.7109375" style="55" customWidth="1"/>
    <col min="8" max="8" width="13.7109375" style="55" bestFit="1" customWidth="1"/>
    <col min="9" max="9" width="3.28515625" style="55" customWidth="1"/>
    <col min="10" max="16384" width="14.42578125" style="55"/>
  </cols>
  <sheetData>
    <row r="1" spans="1:10" ht="39" customHeight="1" x14ac:dyDescent="0.2">
      <c r="A1" s="54"/>
      <c r="B1" s="54"/>
      <c r="C1" s="54"/>
      <c r="D1" s="54"/>
      <c r="E1" s="54"/>
      <c r="F1" s="54"/>
      <c r="G1" s="54"/>
      <c r="H1" s="54"/>
      <c r="I1" s="54"/>
    </row>
    <row r="2" spans="1:10" x14ac:dyDescent="0.25">
      <c r="A2" s="54"/>
      <c r="B2" s="56"/>
      <c r="C2" s="56"/>
      <c r="D2" s="56"/>
      <c r="E2" s="57"/>
      <c r="F2" s="57"/>
      <c r="G2" s="57"/>
      <c r="H2" s="57"/>
      <c r="I2" s="56"/>
    </row>
    <row r="3" spans="1:10" ht="12.75" x14ac:dyDescent="0.2">
      <c r="A3" s="54"/>
      <c r="B3" s="56"/>
      <c r="C3" s="56"/>
      <c r="D3" s="56"/>
      <c r="E3" s="273"/>
      <c r="F3" s="274"/>
      <c r="G3" s="274"/>
      <c r="H3" s="274"/>
      <c r="I3" s="56"/>
    </row>
    <row r="4" spans="1:10" ht="12.75" x14ac:dyDescent="0.2">
      <c r="A4" s="54"/>
      <c r="B4" s="275" t="s">
        <v>83</v>
      </c>
      <c r="C4" s="276"/>
      <c r="D4" s="276"/>
      <c r="E4" s="277"/>
      <c r="F4" s="274"/>
      <c r="G4" s="274"/>
      <c r="H4" s="274"/>
      <c r="I4" s="56"/>
    </row>
    <row r="5" spans="1:10" ht="12.75" x14ac:dyDescent="0.2">
      <c r="A5" s="54"/>
      <c r="B5" s="276"/>
      <c r="C5" s="276"/>
      <c r="D5" s="276"/>
      <c r="E5" s="277"/>
      <c r="F5" s="274"/>
      <c r="G5" s="274"/>
      <c r="H5" s="274"/>
      <c r="I5" s="56"/>
    </row>
    <row r="6" spans="1:10" ht="12.75" x14ac:dyDescent="0.2">
      <c r="A6" s="54"/>
      <c r="B6" s="276"/>
      <c r="C6" s="276"/>
      <c r="D6" s="276"/>
      <c r="E6" s="277"/>
      <c r="F6" s="274"/>
      <c r="G6" s="274"/>
      <c r="H6" s="274"/>
      <c r="I6" s="56"/>
    </row>
    <row r="7" spans="1:10" ht="36.75" customHeight="1" x14ac:dyDescent="0.2">
      <c r="A7" s="54"/>
      <c r="B7" s="54"/>
      <c r="C7" s="54"/>
      <c r="D7" s="54"/>
      <c r="E7" s="54"/>
      <c r="F7" s="54"/>
      <c r="G7" s="54"/>
      <c r="H7" s="54"/>
      <c r="I7" s="54"/>
    </row>
    <row r="8" spans="1:10" ht="21.75" customHeight="1" x14ac:dyDescent="0.2">
      <c r="A8" s="58"/>
      <c r="B8" s="58"/>
      <c r="C8" s="58"/>
      <c r="D8" s="58"/>
      <c r="E8" s="58"/>
      <c r="F8" s="58"/>
      <c r="G8" s="58"/>
      <c r="H8" s="58"/>
      <c r="I8" s="58"/>
      <c r="J8" s="59"/>
    </row>
    <row r="9" spans="1:10" ht="15.75" customHeight="1" x14ac:dyDescent="0.2">
      <c r="B9" s="278"/>
      <c r="C9" s="278"/>
      <c r="D9" s="278"/>
      <c r="E9" s="278"/>
      <c r="F9" s="278"/>
      <c r="G9" s="278"/>
      <c r="H9" s="278"/>
    </row>
    <row r="10" spans="1:10" ht="15" customHeight="1" x14ac:dyDescent="0.2">
      <c r="A10" s="98"/>
      <c r="B10" s="60" t="s">
        <v>84</v>
      </c>
      <c r="G10" s="60"/>
      <c r="H10" s="61" t="s">
        <v>85</v>
      </c>
    </row>
    <row r="11" spans="1:10" ht="14.25" x14ac:dyDescent="0.2">
      <c r="A11" s="98"/>
      <c r="B11" s="62" t="s">
        <v>86</v>
      </c>
      <c r="G11" s="62"/>
      <c r="H11" s="63" t="str">
        <f>"AK"&amp;J11</f>
        <v>AK30</v>
      </c>
      <c r="J11" s="55">
        <v>30</v>
      </c>
    </row>
    <row r="12" spans="1:10" ht="15" x14ac:dyDescent="0.2">
      <c r="A12" s="98"/>
      <c r="B12" s="62" t="s">
        <v>87</v>
      </c>
      <c r="G12" s="60"/>
      <c r="H12" s="61" t="s">
        <v>88</v>
      </c>
      <c r="J12" s="55">
        <v>7</v>
      </c>
    </row>
    <row r="13" spans="1:10" ht="14.25" x14ac:dyDescent="0.2">
      <c r="A13" s="98"/>
      <c r="B13" s="62"/>
      <c r="F13" s="107"/>
      <c r="G13" s="64"/>
      <c r="H13" s="65">
        <v>44951</v>
      </c>
    </row>
    <row r="14" spans="1:10" ht="15" x14ac:dyDescent="0.2">
      <c r="A14" s="98"/>
      <c r="G14" s="60"/>
      <c r="H14" s="61" t="s">
        <v>89</v>
      </c>
    </row>
    <row r="15" spans="1:10" ht="14.25" x14ac:dyDescent="0.2">
      <c r="A15" s="98"/>
      <c r="G15" s="64"/>
      <c r="H15" s="65">
        <f>H13+J12</f>
        <v>44958</v>
      </c>
    </row>
    <row r="16" spans="1:10" ht="14.25" x14ac:dyDescent="0.2">
      <c r="A16" s="98"/>
      <c r="B16" s="62"/>
      <c r="G16" s="65"/>
      <c r="H16" s="65"/>
    </row>
    <row r="17" spans="1:11" ht="14.25" x14ac:dyDescent="0.2">
      <c r="A17" s="98"/>
      <c r="F17" s="65"/>
      <c r="G17" s="65"/>
      <c r="H17" s="66"/>
    </row>
    <row r="18" spans="1:11" ht="22.5" customHeight="1" x14ac:dyDescent="0.2">
      <c r="A18" s="98"/>
      <c r="B18" s="279" t="s">
        <v>90</v>
      </c>
      <c r="C18" s="280"/>
      <c r="D18" s="280"/>
      <c r="E18" s="280"/>
      <c r="F18" s="65"/>
      <c r="G18" s="65"/>
      <c r="H18" s="66"/>
    </row>
    <row r="19" spans="1:11" ht="15" x14ac:dyDescent="0.2">
      <c r="A19" s="98"/>
      <c r="B19" s="295" t="s">
        <v>152</v>
      </c>
      <c r="C19" s="296"/>
      <c r="D19" s="296"/>
      <c r="E19" s="296"/>
      <c r="F19" s="65"/>
      <c r="G19" s="65"/>
      <c r="H19" s="66"/>
    </row>
    <row r="20" spans="1:11" ht="14.25" x14ac:dyDescent="0.2">
      <c r="A20" s="98"/>
      <c r="B20" s="297" t="s">
        <v>153</v>
      </c>
      <c r="C20" s="296"/>
      <c r="D20" s="296"/>
      <c r="E20" s="296"/>
      <c r="F20" s="65"/>
      <c r="G20" s="65"/>
      <c r="H20" s="66"/>
    </row>
    <row r="21" spans="1:11" ht="15" x14ac:dyDescent="0.2">
      <c r="A21" s="98"/>
      <c r="B21" s="114"/>
      <c r="C21" s="67"/>
      <c r="D21" s="67"/>
      <c r="E21" s="67"/>
      <c r="F21" s="65"/>
      <c r="G21" s="65"/>
      <c r="H21" s="66"/>
    </row>
    <row r="22" spans="1:11" ht="14.25" x14ac:dyDescent="0.2">
      <c r="A22" s="98"/>
      <c r="B22" s="62"/>
      <c r="C22" s="67"/>
      <c r="D22" s="67"/>
      <c r="E22" s="67"/>
      <c r="F22" s="65"/>
      <c r="G22" s="65"/>
      <c r="H22" s="66"/>
      <c r="K22" s="136"/>
    </row>
    <row r="23" spans="1:11" ht="22.5" customHeight="1" x14ac:dyDescent="0.2">
      <c r="A23" s="98"/>
      <c r="B23" s="282"/>
      <c r="C23" s="280"/>
      <c r="D23" s="280"/>
      <c r="E23" s="280"/>
      <c r="F23" s="67"/>
      <c r="G23" s="67"/>
      <c r="H23" s="67"/>
    </row>
    <row r="24" spans="1:11" ht="27.75" customHeight="1" x14ac:dyDescent="0.2">
      <c r="B24" s="280"/>
      <c r="C24" s="280"/>
      <c r="D24" s="280"/>
      <c r="E24" s="280"/>
      <c r="F24" s="280"/>
      <c r="G24" s="280"/>
      <c r="H24" s="280"/>
    </row>
    <row r="25" spans="1:11" ht="27.75" customHeight="1" x14ac:dyDescent="0.2">
      <c r="B25" s="67"/>
      <c r="C25" s="67"/>
      <c r="D25" s="67"/>
      <c r="E25" s="67"/>
      <c r="F25" s="67"/>
      <c r="G25" s="67"/>
      <c r="H25" s="67"/>
    </row>
    <row r="26" spans="1:11" ht="15.75" customHeight="1" x14ac:dyDescent="0.2">
      <c r="B26" s="67"/>
      <c r="C26" s="67"/>
      <c r="D26" s="67"/>
      <c r="E26" s="67"/>
      <c r="F26" s="67"/>
      <c r="G26" s="67"/>
      <c r="H26" s="67"/>
    </row>
    <row r="27" spans="1:11" ht="15" x14ac:dyDescent="0.25">
      <c r="B27" s="68" t="s">
        <v>88</v>
      </c>
      <c r="C27" s="272" t="s">
        <v>92</v>
      </c>
      <c r="D27" s="272"/>
      <c r="E27" s="70" t="s">
        <v>110</v>
      </c>
      <c r="F27" s="70" t="s">
        <v>111</v>
      </c>
      <c r="G27" s="70" t="s">
        <v>18</v>
      </c>
      <c r="H27" s="70" t="s">
        <v>95</v>
      </c>
    </row>
    <row r="28" spans="1:11" ht="31.5" customHeight="1" x14ac:dyDescent="0.2">
      <c r="B28" s="71">
        <v>44950</v>
      </c>
      <c r="C28" s="293" t="s">
        <v>154</v>
      </c>
      <c r="D28" s="294"/>
      <c r="E28" s="99">
        <v>38</v>
      </c>
      <c r="F28" s="100">
        <v>3</v>
      </c>
      <c r="G28" s="101">
        <v>0.1</v>
      </c>
      <c r="H28" s="99">
        <f>E28*F28</f>
        <v>114</v>
      </c>
    </row>
    <row r="29" spans="1:11" ht="19.5" customHeight="1" x14ac:dyDescent="0.2">
      <c r="B29" s="102"/>
      <c r="C29" s="286"/>
      <c r="D29" s="287"/>
      <c r="E29" s="77"/>
      <c r="F29" s="103"/>
      <c r="G29" s="103"/>
      <c r="H29" s="77"/>
    </row>
    <row r="30" spans="1:11" ht="30" customHeight="1" x14ac:dyDescent="0.2">
      <c r="B30" s="72"/>
      <c r="C30" s="290"/>
      <c r="D30" s="280"/>
      <c r="E30" s="63"/>
      <c r="F30" s="79"/>
      <c r="G30" s="79" t="s">
        <v>97</v>
      </c>
      <c r="H30" s="80">
        <f>SUM(H28:H29)</f>
        <v>114</v>
      </c>
    </row>
    <row r="31" spans="1:11" ht="30" customHeight="1" x14ac:dyDescent="0.2">
      <c r="B31" s="72"/>
      <c r="C31" s="72"/>
      <c r="D31" s="67"/>
      <c r="E31" s="63"/>
      <c r="F31" s="79"/>
      <c r="G31" s="79" t="s">
        <v>113</v>
      </c>
      <c r="H31" s="80">
        <f>G28*H30</f>
        <v>11.4</v>
      </c>
    </row>
    <row r="32" spans="1:11" ht="30" customHeight="1" x14ac:dyDescent="0.2">
      <c r="B32" s="72"/>
      <c r="C32" s="290"/>
      <c r="D32" s="280"/>
      <c r="E32" s="63"/>
      <c r="F32" s="81"/>
      <c r="G32" s="81" t="s">
        <v>99</v>
      </c>
      <c r="H32" s="82">
        <v>0</v>
      </c>
    </row>
    <row r="33" spans="1:9" ht="30" customHeight="1" x14ac:dyDescent="0.25">
      <c r="B33" s="83"/>
      <c r="C33" s="291"/>
      <c r="D33" s="278"/>
      <c r="E33" s="84"/>
      <c r="F33" s="85"/>
      <c r="G33" s="85" t="s">
        <v>100</v>
      </c>
      <c r="H33" s="86">
        <f>SUM(H30:H32)</f>
        <v>125.4</v>
      </c>
    </row>
    <row r="34" spans="1:9" ht="30" customHeight="1" x14ac:dyDescent="0.25">
      <c r="B34" s="83"/>
      <c r="C34" s="83"/>
      <c r="E34" s="84"/>
      <c r="F34" s="85"/>
      <c r="G34" s="85"/>
      <c r="H34" s="87"/>
    </row>
    <row r="35" spans="1:9" ht="30" customHeight="1" x14ac:dyDescent="0.25">
      <c r="B35" s="83"/>
      <c r="C35" s="83"/>
      <c r="E35" s="84"/>
      <c r="F35" s="85"/>
      <c r="G35" s="85"/>
      <c r="H35" s="86"/>
    </row>
    <row r="36" spans="1:9" ht="30" customHeight="1" x14ac:dyDescent="0.25">
      <c r="B36" s="83"/>
      <c r="C36" s="83"/>
      <c r="E36" s="84"/>
      <c r="F36" s="85"/>
      <c r="G36" s="85"/>
      <c r="H36" s="86"/>
    </row>
    <row r="37" spans="1:9" ht="30" customHeight="1" x14ac:dyDescent="0.25">
      <c r="B37" s="83"/>
      <c r="C37" s="83"/>
      <c r="E37" s="84"/>
      <c r="F37" s="85"/>
      <c r="G37" s="85"/>
      <c r="H37" s="86"/>
    </row>
    <row r="38" spans="1:9" ht="30" customHeight="1" x14ac:dyDescent="0.25">
      <c r="B38" s="83"/>
      <c r="C38" s="83"/>
      <c r="E38" s="84"/>
      <c r="F38" s="85"/>
      <c r="G38" s="85"/>
      <c r="H38" s="86"/>
    </row>
    <row r="39" spans="1:9" ht="30" customHeight="1" x14ac:dyDescent="0.25">
      <c r="B39" s="83"/>
      <c r="C39" s="83"/>
      <c r="E39" s="84"/>
      <c r="F39" s="85"/>
      <c r="G39" s="85"/>
      <c r="H39" s="86"/>
    </row>
    <row r="40" spans="1:9" ht="30" customHeight="1" x14ac:dyDescent="0.2">
      <c r="B40" s="83"/>
      <c r="C40" s="88"/>
      <c r="D40" s="292" t="s">
        <v>101</v>
      </c>
      <c r="E40" s="292"/>
      <c r="F40" s="292"/>
      <c r="G40" s="89"/>
      <c r="H40" s="90"/>
    </row>
    <row r="41" spans="1:9" ht="12.75" customHeight="1" x14ac:dyDescent="0.2"/>
    <row r="42" spans="1:9" ht="12.75" x14ac:dyDescent="0.2">
      <c r="A42" s="92"/>
      <c r="B42" s="91" t="s">
        <v>102</v>
      </c>
      <c r="C42" s="92"/>
      <c r="D42" s="92"/>
      <c r="E42" s="104"/>
      <c r="F42" s="95"/>
      <c r="G42" s="95"/>
      <c r="H42" s="105" t="s">
        <v>103</v>
      </c>
      <c r="I42" s="106"/>
    </row>
    <row r="43" spans="1:9" ht="14.25" customHeight="1" x14ac:dyDescent="0.2">
      <c r="A43" s="92"/>
      <c r="B43" s="94" t="s">
        <v>104</v>
      </c>
      <c r="C43" s="53"/>
      <c r="D43" s="53"/>
      <c r="E43" s="104"/>
      <c r="F43" s="104"/>
      <c r="G43" s="283">
        <f>H33</f>
        <v>125.4</v>
      </c>
      <c r="H43" s="283"/>
      <c r="I43" s="298"/>
    </row>
    <row r="44" spans="1:9" ht="14.25" x14ac:dyDescent="0.2">
      <c r="A44" s="53"/>
      <c r="B44" s="94" t="s">
        <v>106</v>
      </c>
      <c r="C44" s="53"/>
      <c r="D44" s="53"/>
      <c r="E44" s="104"/>
      <c r="F44" s="104"/>
      <c r="G44" s="283"/>
      <c r="H44" s="283"/>
      <c r="I44" s="298"/>
    </row>
    <row r="45" spans="1:9" ht="14.25" x14ac:dyDescent="0.2">
      <c r="A45" s="53"/>
      <c r="B45" s="94" t="s">
        <v>107</v>
      </c>
      <c r="C45" s="53"/>
      <c r="D45" s="53"/>
      <c r="E45" s="95"/>
      <c r="F45" s="95"/>
      <c r="G45" s="95"/>
      <c r="H45" s="95"/>
      <c r="I45" s="95"/>
    </row>
    <row r="46" spans="1:9" ht="14.25" x14ac:dyDescent="0.2">
      <c r="A46" s="53"/>
      <c r="B46" s="94" t="s">
        <v>114</v>
      </c>
      <c r="C46" s="96"/>
      <c r="D46" s="96"/>
      <c r="E46" s="97"/>
      <c r="F46" s="97"/>
      <c r="G46" s="97"/>
      <c r="H46" s="97"/>
      <c r="I46" s="95"/>
    </row>
    <row r="47" spans="1:9" ht="53.25" customHeight="1" x14ac:dyDescent="0.2">
      <c r="B47" s="284"/>
      <c r="C47" s="278"/>
      <c r="D47" s="278"/>
      <c r="E47" s="278"/>
      <c r="F47" s="278"/>
      <c r="G47" s="278"/>
      <c r="H47" s="278"/>
    </row>
    <row r="51" spans="6:7" ht="15.75" customHeight="1" x14ac:dyDescent="0.2">
      <c r="F51" s="62"/>
      <c r="G51" s="62"/>
    </row>
    <row r="52" spans="6:7" ht="15.75" customHeight="1" x14ac:dyDescent="0.2">
      <c r="F52" s="62"/>
      <c r="G52" s="62"/>
    </row>
    <row r="53" spans="6:7" ht="15.75" customHeight="1" x14ac:dyDescent="0.2">
      <c r="F53" s="62"/>
      <c r="G53" s="62"/>
    </row>
    <row r="56" spans="6:7" ht="15.75" customHeight="1" x14ac:dyDescent="0.2">
      <c r="F56" s="62"/>
      <c r="G56" s="62"/>
    </row>
    <row r="58" spans="6:7" ht="15.75" customHeight="1" x14ac:dyDescent="0.2">
      <c r="F58" s="62"/>
      <c r="G58" s="62"/>
    </row>
  </sheetData>
  <mergeCells count="21">
    <mergeCell ref="G43:H44"/>
    <mergeCell ref="I43:I44"/>
    <mergeCell ref="B47:H47"/>
    <mergeCell ref="C28:D28"/>
    <mergeCell ref="C29:D29"/>
    <mergeCell ref="C30:D30"/>
    <mergeCell ref="C32:D32"/>
    <mergeCell ref="C33:D33"/>
    <mergeCell ref="D40:F40"/>
    <mergeCell ref="C27:D27"/>
    <mergeCell ref="E3:H3"/>
    <mergeCell ref="B4:D6"/>
    <mergeCell ref="E4:H4"/>
    <mergeCell ref="E5:H5"/>
    <mergeCell ref="E6:H6"/>
    <mergeCell ref="B9:H9"/>
    <mergeCell ref="B18:E18"/>
    <mergeCell ref="B19:E19"/>
    <mergeCell ref="B20:E20"/>
    <mergeCell ref="B23:E23"/>
    <mergeCell ref="B24:H24"/>
  </mergeCells>
  <conditionalFormatting sqref="B26">
    <cfRule type="notContainsBlanks" dxfId="46" priority="1">
      <formula>LEN(TRIM(B26))&gt;0</formula>
    </cfRule>
  </conditionalFormatting>
  <hyperlinks>
    <hyperlink ref="B12" r:id="rId1" xr:uid="{0C12E62B-44B2-400C-BDA0-1641E13F71E7}"/>
  </hyperlinks>
  <printOptions horizontalCentered="1" verticalCentered="1"/>
  <pageMargins left="0.13" right="7.0000000000000007E-2" top="0.19685039370078741" bottom="0.19685039370078741" header="0.31496062992125984" footer="0.31496062992125984"/>
  <pageSetup paperSize="9" scale="88" orientation="portrait" r:id="rId2"/>
  <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C71325-B07F-4313-B2B1-141F77ADF343}">
  <sheetPr codeName="Sheet14">
    <tabColor theme="4" tint="-0.249977111117893"/>
    <outlinePr summaryBelow="0" summaryRight="0"/>
    <pageSetUpPr fitToPage="1"/>
  </sheetPr>
  <dimension ref="A1:J59"/>
  <sheetViews>
    <sheetView showGridLines="0" topLeftCell="A7" zoomScale="115" zoomScaleNormal="115" workbookViewId="0">
      <selection activeCell="J11" sqref="J11"/>
    </sheetView>
  </sheetViews>
  <sheetFormatPr defaultColWidth="14.42578125" defaultRowHeight="15.75" customHeight="1" x14ac:dyDescent="0.2"/>
  <cols>
    <col min="1" max="1" width="3.7109375" style="55" customWidth="1"/>
    <col min="2" max="3" width="14.42578125" style="55"/>
    <col min="4" max="4" width="30.7109375" style="55" customWidth="1"/>
    <col min="5" max="5" width="16.42578125" style="55" customWidth="1"/>
    <col min="6" max="6" width="12.42578125" style="55" customWidth="1"/>
    <col min="7" max="7" width="8.140625" style="55" customWidth="1"/>
    <col min="8" max="8" width="13.7109375" style="55" bestFit="1" customWidth="1"/>
    <col min="9" max="9" width="4" style="55" customWidth="1"/>
    <col min="10" max="16384" width="14.42578125" style="55"/>
  </cols>
  <sheetData>
    <row r="1" spans="1:10" ht="39" customHeight="1" x14ac:dyDescent="0.25">
      <c r="A1" s="54"/>
      <c r="B1" s="54"/>
      <c r="C1" s="54"/>
      <c r="D1" s="54"/>
      <c r="E1" s="54"/>
      <c r="F1" s="54"/>
      <c r="G1" s="54"/>
      <c r="H1" s="54"/>
      <c r="I1" s="126"/>
    </row>
    <row r="2" spans="1:10" x14ac:dyDescent="0.25">
      <c r="A2" s="54"/>
      <c r="B2" s="56"/>
      <c r="C2" s="56"/>
      <c r="D2" s="56"/>
      <c r="E2" s="57"/>
      <c r="F2" s="57"/>
      <c r="G2" s="57"/>
      <c r="H2" s="57"/>
      <c r="I2" s="57"/>
    </row>
    <row r="3" spans="1:10" ht="12.75" x14ac:dyDescent="0.2">
      <c r="A3" s="54"/>
      <c r="B3" s="56"/>
      <c r="C3" s="56"/>
      <c r="D3" s="56"/>
      <c r="E3" s="273"/>
      <c r="F3" s="274"/>
      <c r="G3" s="274"/>
      <c r="H3" s="274"/>
      <c r="I3" s="274"/>
    </row>
    <row r="4" spans="1:10" ht="12.75" x14ac:dyDescent="0.2">
      <c r="A4" s="54"/>
      <c r="B4" s="275" t="s">
        <v>83</v>
      </c>
      <c r="C4" s="276"/>
      <c r="D4" s="276"/>
      <c r="E4" s="277"/>
      <c r="F4" s="274"/>
      <c r="G4" s="274"/>
      <c r="H4" s="274"/>
      <c r="I4" s="274"/>
    </row>
    <row r="5" spans="1:10" ht="12.75" x14ac:dyDescent="0.2">
      <c r="A5" s="54"/>
      <c r="B5" s="276"/>
      <c r="C5" s="276"/>
      <c r="D5" s="276"/>
      <c r="E5" s="277"/>
      <c r="F5" s="274"/>
      <c r="G5" s="274"/>
      <c r="H5" s="274"/>
      <c r="I5" s="274"/>
    </row>
    <row r="6" spans="1:10" ht="12.75" x14ac:dyDescent="0.2">
      <c r="A6" s="54"/>
      <c r="B6" s="276"/>
      <c r="C6" s="276"/>
      <c r="D6" s="276"/>
      <c r="E6" s="277"/>
      <c r="F6" s="274"/>
      <c r="G6" s="274"/>
      <c r="H6" s="274"/>
      <c r="I6" s="274"/>
    </row>
    <row r="7" spans="1:10" ht="36.75" customHeight="1" x14ac:dyDescent="0.2">
      <c r="A7" s="54"/>
      <c r="B7" s="54"/>
      <c r="C7" s="54"/>
      <c r="D7" s="54"/>
      <c r="E7" s="54"/>
      <c r="F7" s="54"/>
      <c r="G7" s="54"/>
      <c r="H7" s="54"/>
      <c r="I7" s="54"/>
    </row>
    <row r="8" spans="1:10" ht="14.25" customHeight="1" x14ac:dyDescent="0.2">
      <c r="A8" s="58"/>
      <c r="B8" s="58"/>
      <c r="C8" s="58"/>
      <c r="D8" s="58"/>
      <c r="E8" s="58"/>
      <c r="F8" s="58"/>
      <c r="G8" s="58"/>
      <c r="H8" s="58"/>
      <c r="I8" s="58"/>
      <c r="J8" s="59"/>
    </row>
    <row r="9" spans="1:10" ht="15.75" customHeight="1" x14ac:dyDescent="0.2">
      <c r="B9" s="278"/>
      <c r="C9" s="278"/>
      <c r="D9" s="278"/>
      <c r="E9" s="278"/>
      <c r="F9" s="278"/>
      <c r="G9" s="278"/>
      <c r="H9" s="278"/>
      <c r="I9" s="278"/>
    </row>
    <row r="10" spans="1:10" ht="15" customHeight="1" x14ac:dyDescent="0.2">
      <c r="A10" s="98"/>
      <c r="B10" s="60" t="s">
        <v>84</v>
      </c>
      <c r="G10" s="60"/>
      <c r="H10" s="61" t="s">
        <v>85</v>
      </c>
      <c r="I10" s="67"/>
    </row>
    <row r="11" spans="1:10" ht="14.25" x14ac:dyDescent="0.2">
      <c r="A11" s="98"/>
      <c r="B11" s="62" t="s">
        <v>86</v>
      </c>
      <c r="G11" s="62"/>
      <c r="H11" s="63" t="str">
        <f>"BH"&amp;J11</f>
        <v>BH17</v>
      </c>
      <c r="I11" s="67"/>
      <c r="J11" s="55">
        <v>17</v>
      </c>
    </row>
    <row r="12" spans="1:10" ht="15" x14ac:dyDescent="0.2">
      <c r="A12" s="98"/>
      <c r="B12" s="62" t="s">
        <v>87</v>
      </c>
      <c r="G12" s="60"/>
      <c r="H12" s="61" t="s">
        <v>88</v>
      </c>
      <c r="I12" s="60"/>
      <c r="J12" s="55">
        <v>7</v>
      </c>
    </row>
    <row r="13" spans="1:10" ht="14.25" x14ac:dyDescent="0.2">
      <c r="A13" s="98"/>
      <c r="B13" s="62"/>
      <c r="G13" s="64"/>
      <c r="H13" s="65">
        <v>44950</v>
      </c>
      <c r="I13" s="64"/>
    </row>
    <row r="14" spans="1:10" ht="15" x14ac:dyDescent="0.2">
      <c r="A14" s="98"/>
      <c r="G14" s="60"/>
      <c r="H14" s="61" t="s">
        <v>89</v>
      </c>
      <c r="I14" s="60"/>
    </row>
    <row r="15" spans="1:10" ht="14.25" x14ac:dyDescent="0.2">
      <c r="A15" s="98"/>
      <c r="G15" s="64"/>
      <c r="H15" s="65">
        <f>H13+J12</f>
        <v>44957</v>
      </c>
      <c r="I15" s="64"/>
    </row>
    <row r="16" spans="1:10" ht="14.25" x14ac:dyDescent="0.2">
      <c r="A16" s="98"/>
      <c r="B16" s="62"/>
      <c r="F16" s="65"/>
      <c r="G16" s="65"/>
      <c r="H16" s="65"/>
      <c r="I16" s="65"/>
    </row>
    <row r="17" spans="1:9" ht="14.25" x14ac:dyDescent="0.2">
      <c r="A17" s="98"/>
      <c r="F17" s="65"/>
      <c r="G17" s="65"/>
      <c r="H17" s="66"/>
      <c r="I17" s="66"/>
    </row>
    <row r="18" spans="1:9" ht="22.5" customHeight="1" x14ac:dyDescent="0.2">
      <c r="A18" s="98"/>
      <c r="B18" s="279" t="s">
        <v>90</v>
      </c>
      <c r="C18" s="280"/>
      <c r="D18" s="280"/>
      <c r="E18" s="280"/>
      <c r="F18" s="65"/>
      <c r="G18" s="65"/>
      <c r="H18" s="66"/>
      <c r="I18" s="66"/>
    </row>
    <row r="19" spans="1:9" ht="15" x14ac:dyDescent="0.2">
      <c r="A19" s="98"/>
      <c r="B19" s="295" t="s">
        <v>155</v>
      </c>
      <c r="C19" s="296"/>
      <c r="D19" s="296"/>
      <c r="E19" s="296"/>
      <c r="F19" s="65"/>
      <c r="G19" s="65"/>
      <c r="H19" s="66"/>
      <c r="I19" s="66"/>
    </row>
    <row r="20" spans="1:9" ht="14.25" x14ac:dyDescent="0.2">
      <c r="A20" s="98"/>
      <c r="B20" s="301" t="s">
        <v>156</v>
      </c>
      <c r="C20" s="296"/>
      <c r="D20" s="296"/>
      <c r="E20" s="296"/>
      <c r="F20" s="65"/>
      <c r="G20" s="65"/>
      <c r="H20" s="66"/>
      <c r="I20" s="66"/>
    </row>
    <row r="21" spans="1:9" ht="14.25" x14ac:dyDescent="0.2">
      <c r="A21" s="98"/>
      <c r="B21" s="62"/>
      <c r="C21" s="67"/>
      <c r="D21" s="67"/>
      <c r="E21" s="67"/>
      <c r="F21" s="65"/>
      <c r="G21" s="65"/>
      <c r="H21" s="66"/>
      <c r="I21" s="66"/>
    </row>
    <row r="22" spans="1:9" ht="14.25" x14ac:dyDescent="0.2">
      <c r="A22" s="98"/>
      <c r="B22" s="62"/>
      <c r="C22" s="67"/>
      <c r="D22" s="67"/>
      <c r="E22" s="67"/>
      <c r="F22" s="65"/>
      <c r="G22" s="65"/>
      <c r="H22" s="66"/>
      <c r="I22" s="66"/>
    </row>
    <row r="23" spans="1:9" ht="22.5" customHeight="1" x14ac:dyDescent="0.2">
      <c r="A23" s="98"/>
      <c r="B23" s="282"/>
      <c r="C23" s="280"/>
      <c r="D23" s="280"/>
      <c r="E23" s="280"/>
      <c r="F23" s="67"/>
      <c r="G23" s="67"/>
      <c r="H23" s="67"/>
      <c r="I23" s="67"/>
    </row>
    <row r="24" spans="1:9" ht="27.75" customHeight="1" x14ac:dyDescent="0.2">
      <c r="B24" s="280"/>
      <c r="C24" s="280"/>
      <c r="D24" s="280"/>
      <c r="E24" s="280"/>
      <c r="F24" s="280"/>
      <c r="G24" s="280"/>
      <c r="H24" s="280"/>
      <c r="I24" s="280"/>
    </row>
    <row r="25" spans="1:9" ht="27.75" customHeight="1" x14ac:dyDescent="0.2">
      <c r="B25" s="67"/>
      <c r="C25" s="67"/>
      <c r="D25" s="67"/>
      <c r="E25" s="67"/>
      <c r="F25" s="67"/>
      <c r="G25" s="67"/>
      <c r="H25" s="67"/>
      <c r="I25" s="67"/>
    </row>
    <row r="26" spans="1:9" ht="15.75" customHeight="1" x14ac:dyDescent="0.2">
      <c r="B26" s="67"/>
      <c r="C26" s="67"/>
      <c r="D26" s="67"/>
      <c r="E26" s="67"/>
      <c r="F26" s="67"/>
      <c r="G26" s="67"/>
      <c r="H26" s="67"/>
      <c r="I26" s="67"/>
    </row>
    <row r="27" spans="1:9" ht="15" x14ac:dyDescent="0.25">
      <c r="B27" s="127" t="s">
        <v>0</v>
      </c>
      <c r="C27" s="272" t="s">
        <v>92</v>
      </c>
      <c r="D27" s="272"/>
      <c r="E27" s="69" t="s">
        <v>110</v>
      </c>
      <c r="F27" s="69" t="s">
        <v>129</v>
      </c>
      <c r="G27" s="69" t="s">
        <v>18</v>
      </c>
      <c r="H27" s="69" t="s">
        <v>95</v>
      </c>
      <c r="I27" s="67"/>
    </row>
    <row r="28" spans="1:9" ht="25.5" customHeight="1" x14ac:dyDescent="0.2">
      <c r="B28" s="71">
        <v>44949</v>
      </c>
      <c r="C28" s="290" t="s">
        <v>117</v>
      </c>
      <c r="D28" s="280"/>
      <c r="E28" s="73">
        <v>38</v>
      </c>
      <c r="F28" s="137">
        <v>3</v>
      </c>
      <c r="G28" s="138">
        <v>0.1</v>
      </c>
      <c r="H28" s="73">
        <f>E28*F28</f>
        <v>114</v>
      </c>
      <c r="I28" s="67"/>
    </row>
    <row r="29" spans="1:9" ht="14.25" x14ac:dyDescent="0.2">
      <c r="B29" s="102"/>
      <c r="C29" s="286"/>
      <c r="D29" s="287"/>
      <c r="E29" s="128"/>
      <c r="F29" s="110"/>
      <c r="G29" s="129"/>
      <c r="H29" s="77"/>
      <c r="I29" s="67"/>
    </row>
    <row r="30" spans="1:9" ht="30" customHeight="1" x14ac:dyDescent="0.2">
      <c r="B30" s="72"/>
      <c r="C30" s="290"/>
      <c r="D30" s="280"/>
      <c r="E30" s="63"/>
      <c r="F30" s="79" t="s">
        <v>97</v>
      </c>
      <c r="G30" s="79"/>
      <c r="H30" s="80">
        <f>SUM(H28:H29)</f>
        <v>114</v>
      </c>
      <c r="I30" s="67"/>
    </row>
    <row r="31" spans="1:9" ht="30" customHeight="1" x14ac:dyDescent="0.2">
      <c r="B31" s="72"/>
      <c r="C31" s="72"/>
      <c r="D31" s="67"/>
      <c r="E31" s="63"/>
      <c r="F31" s="79" t="s">
        <v>113</v>
      </c>
      <c r="H31" s="80">
        <f>H30*0.1</f>
        <v>11.4</v>
      </c>
      <c r="I31" s="67"/>
    </row>
    <row r="32" spans="1:9" ht="30" customHeight="1" x14ac:dyDescent="0.2">
      <c r="B32" s="72"/>
      <c r="C32" s="290"/>
      <c r="D32" s="280"/>
      <c r="E32" s="63"/>
      <c r="F32" s="81" t="s">
        <v>99</v>
      </c>
      <c r="G32" s="81"/>
      <c r="H32" s="82">
        <v>0</v>
      </c>
      <c r="I32" s="67"/>
    </row>
    <row r="33" spans="1:9" ht="30" customHeight="1" x14ac:dyDescent="0.25">
      <c r="B33" s="83"/>
      <c r="C33" s="291"/>
      <c r="D33" s="278"/>
      <c r="E33" s="84"/>
      <c r="F33" s="85" t="s">
        <v>100</v>
      </c>
      <c r="G33" s="85"/>
      <c r="H33" s="86">
        <f>SUM(H30:H32)</f>
        <v>125.4</v>
      </c>
      <c r="I33" s="130"/>
    </row>
    <row r="34" spans="1:9" ht="30" customHeight="1" x14ac:dyDescent="0.25">
      <c r="B34" s="83"/>
      <c r="C34" s="83"/>
      <c r="E34" s="84"/>
      <c r="F34" s="85"/>
      <c r="G34" s="85"/>
      <c r="H34" s="87"/>
      <c r="I34" s="130"/>
    </row>
    <row r="35" spans="1:9" ht="30" customHeight="1" x14ac:dyDescent="0.25">
      <c r="B35" s="83"/>
      <c r="C35" s="83"/>
      <c r="E35" s="84"/>
      <c r="F35" s="85"/>
      <c r="G35" s="85"/>
      <c r="H35" s="86"/>
      <c r="I35" s="130"/>
    </row>
    <row r="36" spans="1:9" ht="30" customHeight="1" x14ac:dyDescent="0.25">
      <c r="B36" s="83"/>
      <c r="C36" s="83"/>
      <c r="E36" s="84"/>
      <c r="F36" s="85"/>
      <c r="G36" s="85"/>
      <c r="H36" s="86"/>
      <c r="I36" s="130"/>
    </row>
    <row r="37" spans="1:9" ht="30" customHeight="1" x14ac:dyDescent="0.25">
      <c r="B37" s="83"/>
      <c r="C37" s="83"/>
      <c r="E37" s="84"/>
      <c r="F37" s="85"/>
      <c r="G37" s="85"/>
      <c r="H37" s="86"/>
      <c r="I37" s="130"/>
    </row>
    <row r="38" spans="1:9" ht="30" customHeight="1" x14ac:dyDescent="0.25">
      <c r="B38" s="83"/>
      <c r="C38" s="83"/>
      <c r="E38" s="84"/>
      <c r="F38" s="85"/>
      <c r="G38" s="85"/>
      <c r="H38" s="86"/>
      <c r="I38" s="130"/>
    </row>
    <row r="39" spans="1:9" ht="30" customHeight="1" x14ac:dyDescent="0.25">
      <c r="B39" s="83"/>
      <c r="C39" s="83"/>
      <c r="E39" s="84"/>
      <c r="F39" s="85"/>
      <c r="G39" s="85"/>
      <c r="H39" s="86"/>
      <c r="I39" s="130"/>
    </row>
    <row r="40" spans="1:9" ht="30" customHeight="1" x14ac:dyDescent="0.25">
      <c r="B40" s="83"/>
      <c r="C40" s="83"/>
      <c r="E40" s="84"/>
      <c r="F40" s="85"/>
      <c r="G40" s="85"/>
      <c r="H40" s="86"/>
      <c r="I40" s="130"/>
    </row>
    <row r="41" spans="1:9" ht="30" customHeight="1" x14ac:dyDescent="0.2">
      <c r="B41" s="83"/>
      <c r="C41" s="88"/>
      <c r="D41" s="292" t="s">
        <v>101</v>
      </c>
      <c r="E41" s="292"/>
      <c r="F41" s="292"/>
      <c r="G41" s="89"/>
      <c r="H41" s="90"/>
      <c r="I41" s="130"/>
    </row>
    <row r="42" spans="1:9" ht="12.75" customHeight="1" x14ac:dyDescent="0.2"/>
    <row r="43" spans="1:9" ht="12.75" x14ac:dyDescent="0.2">
      <c r="A43" s="92"/>
      <c r="B43" s="91" t="s">
        <v>102</v>
      </c>
      <c r="C43" s="92"/>
      <c r="D43" s="92"/>
      <c r="E43" s="300" t="s">
        <v>103</v>
      </c>
      <c r="F43" s="302"/>
      <c r="G43" s="302"/>
      <c r="H43" s="302"/>
      <c r="I43" s="302"/>
    </row>
    <row r="44" spans="1:9" ht="14.25" x14ac:dyDescent="0.2">
      <c r="A44" s="92"/>
      <c r="B44" s="94" t="s">
        <v>104</v>
      </c>
      <c r="C44" s="53"/>
      <c r="D44" s="53"/>
      <c r="E44" s="303">
        <f>H33</f>
        <v>125.4</v>
      </c>
      <c r="F44" s="304"/>
      <c r="G44" s="304"/>
      <c r="H44" s="304"/>
      <c r="I44" s="304"/>
    </row>
    <row r="45" spans="1:9" ht="14.25" x14ac:dyDescent="0.2">
      <c r="A45" s="53"/>
      <c r="B45" s="94" t="s">
        <v>105</v>
      </c>
      <c r="C45" s="53"/>
      <c r="D45" s="53"/>
      <c r="E45" s="304"/>
      <c r="F45" s="304"/>
      <c r="G45" s="304"/>
      <c r="H45" s="304"/>
      <c r="I45" s="304"/>
    </row>
    <row r="46" spans="1:9" ht="14.25" x14ac:dyDescent="0.2">
      <c r="A46" s="53"/>
      <c r="B46" s="94" t="s">
        <v>106</v>
      </c>
      <c r="C46" s="53"/>
      <c r="D46" s="53"/>
      <c r="E46" s="95"/>
      <c r="F46" s="95"/>
      <c r="G46" s="95"/>
      <c r="H46" s="95"/>
      <c r="I46" s="95"/>
    </row>
    <row r="47" spans="1:9" ht="14.25" x14ac:dyDescent="0.2">
      <c r="A47" s="53"/>
      <c r="B47" s="94" t="s">
        <v>107</v>
      </c>
      <c r="C47" s="96"/>
      <c r="D47" s="96"/>
      <c r="E47" s="97"/>
      <c r="F47" s="97"/>
      <c r="G47" s="97"/>
      <c r="H47" s="97"/>
      <c r="I47" s="97"/>
    </row>
    <row r="48" spans="1:9" ht="53.25" customHeight="1" x14ac:dyDescent="0.2">
      <c r="B48" s="284"/>
      <c r="C48" s="278"/>
      <c r="D48" s="278"/>
      <c r="E48" s="278"/>
      <c r="F48" s="278"/>
      <c r="G48" s="278"/>
      <c r="H48" s="278"/>
      <c r="I48" s="278"/>
    </row>
    <row r="52" spans="6:7" ht="15.75" customHeight="1" x14ac:dyDescent="0.2">
      <c r="F52" s="62"/>
      <c r="G52" s="62"/>
    </row>
    <row r="53" spans="6:7" ht="15.75" customHeight="1" x14ac:dyDescent="0.2">
      <c r="F53" s="62"/>
      <c r="G53" s="62"/>
    </row>
    <row r="54" spans="6:7" ht="15.75" customHeight="1" x14ac:dyDescent="0.2">
      <c r="F54" s="62"/>
      <c r="G54" s="62"/>
    </row>
    <row r="57" spans="6:7" ht="15.75" customHeight="1" x14ac:dyDescent="0.2">
      <c r="F57" s="62"/>
      <c r="G57" s="62"/>
    </row>
    <row r="59" spans="6:7" ht="15.75" customHeight="1" x14ac:dyDescent="0.2">
      <c r="F59" s="62"/>
      <c r="G59" s="62"/>
    </row>
  </sheetData>
  <mergeCells count="21">
    <mergeCell ref="E43:I43"/>
    <mergeCell ref="E44:I45"/>
    <mergeCell ref="B48:I48"/>
    <mergeCell ref="C28:D28"/>
    <mergeCell ref="C29:D29"/>
    <mergeCell ref="C30:D30"/>
    <mergeCell ref="C32:D32"/>
    <mergeCell ref="C33:D33"/>
    <mergeCell ref="D41:F41"/>
    <mergeCell ref="C27:D27"/>
    <mergeCell ref="E3:I3"/>
    <mergeCell ref="B4:D6"/>
    <mergeCell ref="E4:I4"/>
    <mergeCell ref="E5:I5"/>
    <mergeCell ref="E6:I6"/>
    <mergeCell ref="B9:I9"/>
    <mergeCell ref="B18:E18"/>
    <mergeCell ref="B19:E19"/>
    <mergeCell ref="B20:E20"/>
    <mergeCell ref="B23:E23"/>
    <mergeCell ref="B24:I24"/>
  </mergeCells>
  <conditionalFormatting sqref="B26">
    <cfRule type="notContainsBlanks" dxfId="45" priority="1">
      <formula>LEN(TRIM(B26))&gt;0</formula>
    </cfRule>
  </conditionalFormatting>
  <hyperlinks>
    <hyperlink ref="B12" r:id="rId1" xr:uid="{6AD0AAD7-8EA2-4A24-8004-38AB2558A8DD}"/>
  </hyperlinks>
  <printOptions horizontalCentered="1" verticalCentered="1"/>
  <pageMargins left="0.23622047244094491" right="0.23622047244094491" top="0.5" bottom="0.48" header="0.31496062992125984" footer="0.31496062992125984"/>
  <pageSetup paperSize="9" scale="83" orientation="portrait" r:id="rId2"/>
  <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9A668F-BD86-4360-AE96-2AF8737FD3AE}">
  <sheetPr codeName="Sheet15">
    <tabColor theme="4" tint="-0.249977111117893"/>
    <outlinePr summaryBelow="0" summaryRight="0"/>
    <pageSetUpPr fitToPage="1"/>
  </sheetPr>
  <dimension ref="A1:K57"/>
  <sheetViews>
    <sheetView showGridLines="0" zoomScale="120" zoomScaleNormal="120" workbookViewId="0">
      <selection activeCell="J13" sqref="J13"/>
    </sheetView>
  </sheetViews>
  <sheetFormatPr defaultColWidth="14.42578125" defaultRowHeight="15.75" customHeight="1" x14ac:dyDescent="0.2"/>
  <cols>
    <col min="1" max="1" width="2.85546875" style="55" customWidth="1"/>
    <col min="2" max="3" width="14.42578125" style="55"/>
    <col min="4" max="4" width="29.42578125" style="55" customWidth="1"/>
    <col min="5" max="5" width="17.28515625" style="55" customWidth="1"/>
    <col min="6" max="6" width="11.7109375" style="55" customWidth="1"/>
    <col min="7" max="7" width="9.7109375" style="55" customWidth="1"/>
    <col min="8" max="8" width="13.7109375" style="55" bestFit="1" customWidth="1"/>
    <col min="9" max="9" width="3.28515625" style="55" customWidth="1"/>
    <col min="10" max="16384" width="14.42578125" style="55"/>
  </cols>
  <sheetData>
    <row r="1" spans="1:10" ht="39" customHeight="1" x14ac:dyDescent="0.2">
      <c r="A1" s="54"/>
      <c r="B1" s="54"/>
      <c r="C1" s="54"/>
      <c r="D1" s="54"/>
      <c r="E1" s="54"/>
      <c r="F1" s="54"/>
      <c r="G1" s="54"/>
      <c r="H1" s="54"/>
      <c r="I1" s="54"/>
    </row>
    <row r="2" spans="1:10" x14ac:dyDescent="0.25">
      <c r="A2" s="54"/>
      <c r="B2" s="56"/>
      <c r="C2" s="56"/>
      <c r="D2" s="56"/>
      <c r="E2" s="57"/>
      <c r="F2" s="57"/>
      <c r="G2" s="57"/>
      <c r="H2" s="57"/>
      <c r="I2" s="56"/>
    </row>
    <row r="3" spans="1:10" ht="12.75" x14ac:dyDescent="0.2">
      <c r="A3" s="54"/>
      <c r="B3" s="56"/>
      <c r="C3" s="56"/>
      <c r="D3" s="56"/>
      <c r="E3" s="273"/>
      <c r="F3" s="274"/>
      <c r="G3" s="274"/>
      <c r="H3" s="274"/>
      <c r="I3" s="56"/>
    </row>
    <row r="4" spans="1:10" ht="12.75" x14ac:dyDescent="0.2">
      <c r="A4" s="54"/>
      <c r="B4" s="275" t="s">
        <v>83</v>
      </c>
      <c r="C4" s="276"/>
      <c r="D4" s="276"/>
      <c r="E4" s="277"/>
      <c r="F4" s="274"/>
      <c r="G4" s="274"/>
      <c r="H4" s="274"/>
      <c r="I4" s="56"/>
    </row>
    <row r="5" spans="1:10" ht="12.75" x14ac:dyDescent="0.2">
      <c r="A5" s="54"/>
      <c r="B5" s="276"/>
      <c r="C5" s="276"/>
      <c r="D5" s="276"/>
      <c r="E5" s="277"/>
      <c r="F5" s="274"/>
      <c r="G5" s="274"/>
      <c r="H5" s="274"/>
      <c r="I5" s="56"/>
    </row>
    <row r="6" spans="1:10" ht="12.75" x14ac:dyDescent="0.2">
      <c r="A6" s="54"/>
      <c r="B6" s="276"/>
      <c r="C6" s="276"/>
      <c r="D6" s="276"/>
      <c r="E6" s="277"/>
      <c r="F6" s="274"/>
      <c r="G6" s="274"/>
      <c r="H6" s="274"/>
      <c r="I6" s="56"/>
    </row>
    <row r="7" spans="1:10" ht="36.75" customHeight="1" x14ac:dyDescent="0.2">
      <c r="A7" s="54"/>
      <c r="B7" s="54"/>
      <c r="C7" s="54"/>
      <c r="D7" s="54"/>
      <c r="E7" s="54"/>
      <c r="F7" s="54"/>
      <c r="G7" s="54"/>
      <c r="H7" s="54"/>
      <c r="I7" s="54"/>
    </row>
    <row r="8" spans="1:10" ht="12.75" x14ac:dyDescent="0.2">
      <c r="A8" s="58"/>
      <c r="B8" s="58"/>
      <c r="C8" s="58"/>
      <c r="D8" s="58"/>
      <c r="E8" s="58"/>
      <c r="F8" s="58"/>
      <c r="G8" s="58"/>
      <c r="H8" s="58"/>
      <c r="I8" s="58"/>
      <c r="J8" s="59"/>
    </row>
    <row r="9" spans="1:10" ht="12.75" x14ac:dyDescent="0.2">
      <c r="A9" s="58"/>
      <c r="B9" s="58"/>
      <c r="C9" s="58"/>
      <c r="D9" s="58"/>
      <c r="E9" s="58"/>
      <c r="F9" s="58"/>
      <c r="G9" s="58"/>
      <c r="H9" s="58"/>
      <c r="I9" s="58"/>
      <c r="J9" s="59"/>
    </row>
    <row r="10" spans="1:10" ht="15" customHeight="1" x14ac:dyDescent="0.2">
      <c r="A10" s="98"/>
      <c r="B10" s="60" t="s">
        <v>84</v>
      </c>
      <c r="G10" s="60"/>
      <c r="H10" s="61" t="s">
        <v>85</v>
      </c>
    </row>
    <row r="11" spans="1:10" ht="14.25" x14ac:dyDescent="0.2">
      <c r="A11" s="98"/>
      <c r="B11" s="62" t="s">
        <v>86</v>
      </c>
      <c r="G11" s="62"/>
      <c r="H11" s="63" t="str">
        <f>"DJ"&amp;J11</f>
        <v>DJ27</v>
      </c>
      <c r="J11" s="55">
        <v>27</v>
      </c>
    </row>
    <row r="12" spans="1:10" ht="15" x14ac:dyDescent="0.2">
      <c r="A12" s="98"/>
      <c r="B12" s="62" t="s">
        <v>87</v>
      </c>
      <c r="G12" s="60"/>
      <c r="H12" s="61" t="s">
        <v>88</v>
      </c>
      <c r="J12" s="55">
        <v>7</v>
      </c>
    </row>
    <row r="13" spans="1:10" ht="14.25" x14ac:dyDescent="0.2">
      <c r="A13" s="98"/>
      <c r="B13" s="62"/>
      <c r="F13" s="107"/>
      <c r="G13" s="64"/>
      <c r="H13" s="65">
        <v>44951</v>
      </c>
    </row>
    <row r="14" spans="1:10" ht="15" x14ac:dyDescent="0.2">
      <c r="A14" s="98"/>
      <c r="G14" s="60"/>
      <c r="H14" s="131" t="s">
        <v>89</v>
      </c>
    </row>
    <row r="15" spans="1:10" ht="14.25" x14ac:dyDescent="0.2">
      <c r="A15" s="98"/>
      <c r="G15" s="64"/>
      <c r="H15" s="65">
        <f>H13+J12</f>
        <v>44958</v>
      </c>
    </row>
    <row r="16" spans="1:10" ht="14.25" x14ac:dyDescent="0.2">
      <c r="A16" s="98"/>
      <c r="B16" s="62"/>
      <c r="G16" s="65"/>
      <c r="H16" s="65"/>
    </row>
    <row r="17" spans="1:11" ht="14.25" x14ac:dyDescent="0.2">
      <c r="A17" s="98"/>
      <c r="F17" s="65"/>
      <c r="G17" s="65"/>
      <c r="H17" s="66"/>
    </row>
    <row r="18" spans="1:11" ht="22.5" customHeight="1" x14ac:dyDescent="0.2">
      <c r="A18" s="98"/>
      <c r="B18" s="279" t="s">
        <v>90</v>
      </c>
      <c r="C18" s="280"/>
      <c r="D18" s="280"/>
      <c r="E18" s="280"/>
      <c r="F18" s="65"/>
      <c r="G18" s="65"/>
      <c r="H18" s="66"/>
      <c r="K18" s="139" t="s">
        <v>157</v>
      </c>
    </row>
    <row r="19" spans="1:11" ht="15" x14ac:dyDescent="0.2">
      <c r="A19" s="98"/>
      <c r="B19" s="295" t="s">
        <v>36</v>
      </c>
      <c r="C19" s="296"/>
      <c r="D19" s="296"/>
      <c r="E19" s="296"/>
      <c r="F19" s="65"/>
      <c r="G19" s="65"/>
      <c r="H19" s="66"/>
    </row>
    <row r="20" spans="1:11" ht="14.25" x14ac:dyDescent="0.2">
      <c r="A20" s="98"/>
      <c r="B20" s="297" t="s">
        <v>158</v>
      </c>
      <c r="C20" s="296"/>
      <c r="D20" s="296"/>
      <c r="E20" s="296"/>
      <c r="F20" s="65"/>
      <c r="G20" s="65"/>
      <c r="H20" s="66"/>
    </row>
    <row r="21" spans="1:11" ht="14.25" x14ac:dyDescent="0.2">
      <c r="A21" s="98"/>
      <c r="B21" s="62"/>
      <c r="C21" s="67"/>
      <c r="D21" s="67"/>
      <c r="E21" s="67"/>
      <c r="F21" s="65"/>
      <c r="G21" s="65"/>
      <c r="H21" s="66"/>
    </row>
    <row r="22" spans="1:11" ht="14.25" x14ac:dyDescent="0.2">
      <c r="A22" s="98"/>
      <c r="B22" s="62"/>
      <c r="C22" s="67"/>
      <c r="D22" s="67"/>
      <c r="E22" s="67"/>
      <c r="F22" s="65"/>
      <c r="G22" s="65"/>
      <c r="H22" s="66"/>
    </row>
    <row r="23" spans="1:11" ht="22.5" customHeight="1" x14ac:dyDescent="0.2">
      <c r="A23" s="98"/>
      <c r="B23" s="282"/>
      <c r="C23" s="280"/>
      <c r="D23" s="280"/>
      <c r="E23" s="280"/>
      <c r="F23" s="67"/>
      <c r="G23" s="67"/>
      <c r="H23" s="67"/>
    </row>
    <row r="24" spans="1:11" ht="27.75" customHeight="1" x14ac:dyDescent="0.2">
      <c r="B24" s="280"/>
      <c r="C24" s="280"/>
      <c r="D24" s="280"/>
      <c r="E24" s="280"/>
      <c r="F24" s="280"/>
      <c r="G24" s="280"/>
      <c r="H24" s="280"/>
    </row>
    <row r="25" spans="1:11" ht="14.25" x14ac:dyDescent="0.2">
      <c r="B25" s="67"/>
      <c r="C25" s="67"/>
      <c r="D25" s="67"/>
      <c r="E25" s="67"/>
      <c r="F25" s="67"/>
      <c r="G25" s="67"/>
      <c r="H25" s="67"/>
    </row>
    <row r="26" spans="1:11" ht="15.75" customHeight="1" x14ac:dyDescent="0.2">
      <c r="B26" s="67"/>
      <c r="C26" s="67"/>
      <c r="D26" s="67"/>
      <c r="E26" s="67"/>
      <c r="F26" s="67"/>
      <c r="G26" s="67"/>
      <c r="H26" s="67"/>
    </row>
    <row r="27" spans="1:11" ht="15" x14ac:dyDescent="0.25">
      <c r="B27" s="68" t="s">
        <v>88</v>
      </c>
      <c r="C27" s="272" t="s">
        <v>92</v>
      </c>
      <c r="D27" s="272"/>
      <c r="E27" s="70" t="s">
        <v>93</v>
      </c>
      <c r="F27" s="70" t="s">
        <v>129</v>
      </c>
      <c r="G27" s="70" t="s">
        <v>18</v>
      </c>
      <c r="H27" s="70" t="s">
        <v>95</v>
      </c>
    </row>
    <row r="28" spans="1:11" ht="31.5" customHeight="1" x14ac:dyDescent="0.2">
      <c r="B28" s="71">
        <v>44950</v>
      </c>
      <c r="C28" s="293" t="s">
        <v>130</v>
      </c>
      <c r="D28" s="294"/>
      <c r="E28" s="99">
        <v>38</v>
      </c>
      <c r="F28" s="108">
        <v>2</v>
      </c>
      <c r="G28" s="101">
        <v>0.1</v>
      </c>
      <c r="H28" s="99">
        <f>E28*F28</f>
        <v>76</v>
      </c>
    </row>
    <row r="29" spans="1:11" ht="14.25" x14ac:dyDescent="0.2">
      <c r="B29" s="102"/>
      <c r="C29" s="286"/>
      <c r="D29" s="287"/>
      <c r="E29" s="77"/>
      <c r="F29" s="133"/>
      <c r="G29" s="134"/>
      <c r="H29" s="135"/>
    </row>
    <row r="30" spans="1:11" ht="30" customHeight="1" x14ac:dyDescent="0.2">
      <c r="B30" s="72"/>
      <c r="C30" s="290"/>
      <c r="D30" s="280"/>
      <c r="E30" s="63"/>
      <c r="F30" s="79"/>
      <c r="G30" s="79" t="s">
        <v>97</v>
      </c>
      <c r="H30" s="80">
        <f>SUM(H28:H29)</f>
        <v>76</v>
      </c>
    </row>
    <row r="31" spans="1:11" ht="30" customHeight="1" x14ac:dyDescent="0.2">
      <c r="B31" s="72"/>
      <c r="C31" s="72"/>
      <c r="D31" s="67"/>
      <c r="E31" s="63"/>
      <c r="F31" s="79"/>
      <c r="G31" s="79" t="s">
        <v>113</v>
      </c>
      <c r="H31" s="80">
        <f>H30*0.1</f>
        <v>7.6000000000000005</v>
      </c>
    </row>
    <row r="32" spans="1:11" ht="30" customHeight="1" x14ac:dyDescent="0.2">
      <c r="B32" s="72"/>
      <c r="C32" s="290"/>
      <c r="D32" s="280"/>
      <c r="E32" s="63"/>
      <c r="F32" s="81"/>
      <c r="G32" s="81" t="s">
        <v>99</v>
      </c>
      <c r="H32" s="82">
        <v>0</v>
      </c>
    </row>
    <row r="33" spans="1:9" ht="30" customHeight="1" x14ac:dyDescent="0.25">
      <c r="B33" s="83"/>
      <c r="C33" s="291"/>
      <c r="D33" s="278"/>
      <c r="E33" s="84"/>
      <c r="F33" s="85"/>
      <c r="G33" s="85" t="s">
        <v>100</v>
      </c>
      <c r="H33" s="86">
        <f>SUM(H30:H32)</f>
        <v>83.6</v>
      </c>
    </row>
    <row r="34" spans="1:9" ht="30" customHeight="1" x14ac:dyDescent="0.25">
      <c r="B34" s="83"/>
      <c r="C34" s="83"/>
      <c r="E34" s="84"/>
      <c r="F34" s="85"/>
      <c r="G34" s="85"/>
      <c r="H34" s="87"/>
    </row>
    <row r="35" spans="1:9" ht="30" customHeight="1" x14ac:dyDescent="0.25">
      <c r="B35" s="83"/>
      <c r="C35" s="83"/>
      <c r="E35" s="84"/>
      <c r="F35" s="85"/>
      <c r="G35" s="85"/>
      <c r="H35" s="86"/>
    </row>
    <row r="36" spans="1:9" ht="30" customHeight="1" x14ac:dyDescent="0.25">
      <c r="B36" s="83"/>
      <c r="C36" s="83"/>
      <c r="E36" s="84"/>
      <c r="F36" s="85"/>
      <c r="G36" s="85"/>
      <c r="H36" s="86"/>
    </row>
    <row r="37" spans="1:9" ht="30" customHeight="1" x14ac:dyDescent="0.25">
      <c r="B37" s="83"/>
      <c r="C37" s="83"/>
      <c r="E37" s="84"/>
      <c r="F37" s="85"/>
      <c r="G37" s="85"/>
      <c r="H37" s="86"/>
    </row>
    <row r="38" spans="1:9" ht="30" customHeight="1" x14ac:dyDescent="0.25">
      <c r="B38" s="83"/>
      <c r="C38" s="83"/>
      <c r="E38" s="84"/>
      <c r="F38" s="85"/>
      <c r="G38" s="85"/>
      <c r="H38" s="86"/>
    </row>
    <row r="39" spans="1:9" ht="30" customHeight="1" x14ac:dyDescent="0.2">
      <c r="B39" s="83"/>
      <c r="C39" s="88"/>
      <c r="D39" s="292" t="s">
        <v>101</v>
      </c>
      <c r="E39" s="292"/>
      <c r="F39" s="292"/>
      <c r="G39" s="89"/>
      <c r="H39" s="90"/>
    </row>
    <row r="40" spans="1:9" ht="12.75" customHeight="1" x14ac:dyDescent="0.2"/>
    <row r="41" spans="1:9" ht="12.75" x14ac:dyDescent="0.2">
      <c r="A41" s="92"/>
      <c r="B41" s="91" t="s">
        <v>102</v>
      </c>
      <c r="C41" s="92"/>
      <c r="D41" s="92"/>
      <c r="E41" s="104"/>
      <c r="F41" s="95"/>
      <c r="G41" s="95"/>
      <c r="H41" s="105" t="s">
        <v>103</v>
      </c>
      <c r="I41" s="106"/>
    </row>
    <row r="42" spans="1:9" ht="14.25" customHeight="1" x14ac:dyDescent="0.2">
      <c r="A42" s="92"/>
      <c r="B42" s="94" t="s">
        <v>104</v>
      </c>
      <c r="C42" s="53"/>
      <c r="D42" s="53"/>
      <c r="E42" s="104"/>
      <c r="F42" s="104"/>
      <c r="G42" s="283">
        <f>H33</f>
        <v>83.6</v>
      </c>
      <c r="H42" s="283"/>
      <c r="I42" s="298"/>
    </row>
    <row r="43" spans="1:9" ht="14.25" x14ac:dyDescent="0.2">
      <c r="A43" s="53"/>
      <c r="B43" s="94" t="s">
        <v>105</v>
      </c>
      <c r="C43" s="53"/>
      <c r="D43" s="53"/>
      <c r="E43" s="104"/>
      <c r="F43" s="104"/>
      <c r="G43" s="283"/>
      <c r="H43" s="283"/>
      <c r="I43" s="298"/>
    </row>
    <row r="44" spans="1:9" ht="14.25" x14ac:dyDescent="0.2">
      <c r="A44" s="53"/>
      <c r="B44" s="94" t="s">
        <v>106</v>
      </c>
      <c r="C44" s="53"/>
      <c r="D44" s="53"/>
      <c r="E44" s="95"/>
      <c r="F44" s="95"/>
      <c r="G44" s="95"/>
      <c r="H44" s="95"/>
      <c r="I44" s="95"/>
    </row>
    <row r="45" spans="1:9" ht="14.25" x14ac:dyDescent="0.2">
      <c r="A45" s="53"/>
      <c r="B45" s="94" t="s">
        <v>107</v>
      </c>
      <c r="C45" s="96"/>
      <c r="D45" s="96"/>
      <c r="E45" s="97"/>
      <c r="F45" s="97"/>
      <c r="G45" s="97"/>
      <c r="H45" s="97"/>
      <c r="I45" s="95"/>
    </row>
    <row r="46" spans="1:9" ht="53.25" customHeight="1" x14ac:dyDescent="0.2">
      <c r="B46" s="284"/>
      <c r="C46" s="278"/>
      <c r="D46" s="278"/>
      <c r="E46" s="278"/>
      <c r="F46" s="278"/>
      <c r="G46" s="278"/>
      <c r="H46" s="278"/>
    </row>
    <row r="50" spans="6:7" ht="15.75" customHeight="1" x14ac:dyDescent="0.2">
      <c r="F50" s="62"/>
      <c r="G50" s="62"/>
    </row>
    <row r="51" spans="6:7" ht="15.75" customHeight="1" x14ac:dyDescent="0.2">
      <c r="F51" s="62"/>
      <c r="G51" s="62"/>
    </row>
    <row r="52" spans="6:7" ht="15.75" customHeight="1" x14ac:dyDescent="0.2">
      <c r="F52" s="62"/>
      <c r="G52" s="62"/>
    </row>
    <row r="55" spans="6:7" ht="15.75" customHeight="1" x14ac:dyDescent="0.2">
      <c r="F55" s="62"/>
      <c r="G55" s="62"/>
    </row>
    <row r="57" spans="6:7" ht="15.75" customHeight="1" x14ac:dyDescent="0.2">
      <c r="F57" s="62"/>
      <c r="G57" s="62"/>
    </row>
  </sheetData>
  <mergeCells count="20">
    <mergeCell ref="I42:I43"/>
    <mergeCell ref="B46:H46"/>
    <mergeCell ref="C29:D29"/>
    <mergeCell ref="C30:D30"/>
    <mergeCell ref="C32:D32"/>
    <mergeCell ref="C33:D33"/>
    <mergeCell ref="D39:F39"/>
    <mergeCell ref="G42:H43"/>
    <mergeCell ref="C28:D28"/>
    <mergeCell ref="E3:H3"/>
    <mergeCell ref="B4:D6"/>
    <mergeCell ref="E4:H4"/>
    <mergeCell ref="E5:H5"/>
    <mergeCell ref="E6:H6"/>
    <mergeCell ref="B18:E18"/>
    <mergeCell ref="B19:E19"/>
    <mergeCell ref="B20:E20"/>
    <mergeCell ref="B23:E23"/>
    <mergeCell ref="B24:H24"/>
    <mergeCell ref="C27:D27"/>
  </mergeCells>
  <conditionalFormatting sqref="B26">
    <cfRule type="notContainsBlanks" dxfId="44" priority="1">
      <formula>LEN(TRIM(B26))&gt;0</formula>
    </cfRule>
  </conditionalFormatting>
  <hyperlinks>
    <hyperlink ref="B12" r:id="rId1" xr:uid="{E59E2209-3230-43B9-B99F-D79F7A8547C6}"/>
  </hyperlinks>
  <printOptions horizontalCentered="1" verticalCentered="1"/>
  <pageMargins left="0.13" right="7.0000000000000007E-2" top="0.19685039370078741" bottom="0.19685039370078741" header="0.31496062992125984" footer="0.31496062992125984"/>
  <pageSetup paperSize="9" scale="87" orientation="portrait" r:id="rId2"/>
  <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705C9-E32D-4F88-88AC-EBC6F055CD29}">
  <sheetPr codeName="Sheet16">
    <tabColor theme="4" tint="-0.249977111117893"/>
    <outlinePr summaryBelow="0" summaryRight="0"/>
    <pageSetUpPr fitToPage="1"/>
  </sheetPr>
  <dimension ref="A1:L59"/>
  <sheetViews>
    <sheetView showGridLines="0" topLeftCell="E2" zoomScale="130" zoomScaleNormal="130" workbookViewId="0">
      <selection activeCell="H11" sqref="H11"/>
    </sheetView>
  </sheetViews>
  <sheetFormatPr defaultColWidth="14.42578125" defaultRowHeight="15.75" customHeight="1" x14ac:dyDescent="0.2"/>
  <cols>
    <col min="1" max="1" width="3.42578125" style="55" customWidth="1"/>
    <col min="2" max="3" width="14.42578125" style="55"/>
    <col min="4" max="4" width="26.7109375" style="55" customWidth="1"/>
    <col min="5" max="5" width="18.140625" style="55" bestFit="1" customWidth="1"/>
    <col min="6" max="6" width="16.42578125" style="55" customWidth="1"/>
    <col min="7" max="7" width="12.7109375" style="55" customWidth="1"/>
    <col min="8" max="8" width="17.42578125" style="55" customWidth="1"/>
    <col min="9" max="9" width="3.42578125" style="55" customWidth="1"/>
    <col min="10" max="16384" width="14.42578125" style="55"/>
  </cols>
  <sheetData>
    <row r="1" spans="1:10" ht="39" customHeight="1" x14ac:dyDescent="0.2">
      <c r="A1" s="53"/>
      <c r="B1" s="54"/>
      <c r="C1" s="54"/>
      <c r="D1" s="54"/>
      <c r="E1" s="54"/>
      <c r="F1" s="54"/>
      <c r="G1" s="54"/>
      <c r="H1" s="54"/>
      <c r="I1" s="54"/>
    </row>
    <row r="2" spans="1:10" x14ac:dyDescent="0.25">
      <c r="A2" s="53"/>
      <c r="B2" s="56"/>
      <c r="C2" s="56"/>
      <c r="D2" s="56"/>
      <c r="E2" s="57"/>
      <c r="F2" s="57"/>
      <c r="G2" s="57"/>
      <c r="H2" s="57"/>
      <c r="I2" s="56"/>
    </row>
    <row r="3" spans="1:10" ht="12.75" x14ac:dyDescent="0.2">
      <c r="A3" s="53"/>
      <c r="B3" s="56"/>
      <c r="C3" s="56"/>
      <c r="D3" s="56"/>
      <c r="E3" s="273"/>
      <c r="F3" s="274"/>
      <c r="G3" s="274"/>
      <c r="H3" s="274"/>
      <c r="I3" s="56"/>
    </row>
    <row r="4" spans="1:10" ht="12.75" x14ac:dyDescent="0.2">
      <c r="A4" s="53"/>
      <c r="B4" s="275" t="s">
        <v>83</v>
      </c>
      <c r="C4" s="276"/>
      <c r="D4" s="276"/>
      <c r="E4" s="277"/>
      <c r="F4" s="274"/>
      <c r="G4" s="274"/>
      <c r="H4" s="274"/>
      <c r="I4" s="56"/>
    </row>
    <row r="5" spans="1:10" ht="12.75" x14ac:dyDescent="0.2">
      <c r="A5" s="53"/>
      <c r="B5" s="276"/>
      <c r="C5" s="276"/>
      <c r="D5" s="276"/>
      <c r="E5" s="277"/>
      <c r="F5" s="274"/>
      <c r="G5" s="274"/>
      <c r="H5" s="274"/>
      <c r="I5" s="56"/>
    </row>
    <row r="6" spans="1:10" ht="12.75" x14ac:dyDescent="0.2">
      <c r="A6" s="53"/>
      <c r="B6" s="276"/>
      <c r="C6" s="276"/>
      <c r="D6" s="276"/>
      <c r="E6" s="277"/>
      <c r="F6" s="274"/>
      <c r="G6" s="274"/>
      <c r="H6" s="274"/>
      <c r="I6" s="56"/>
    </row>
    <row r="7" spans="1:10" ht="36.75" customHeight="1" x14ac:dyDescent="0.2">
      <c r="A7" s="53"/>
      <c r="B7" s="54"/>
      <c r="C7" s="54"/>
      <c r="D7" s="54"/>
      <c r="E7" s="54"/>
      <c r="F7" s="54"/>
      <c r="G7" s="54"/>
      <c r="H7" s="54"/>
      <c r="I7" s="54"/>
    </row>
    <row r="8" spans="1:10" ht="21.75" customHeight="1" x14ac:dyDescent="0.2">
      <c r="B8" s="58"/>
      <c r="C8" s="58"/>
      <c r="D8" s="58"/>
      <c r="E8" s="58"/>
      <c r="F8" s="58"/>
      <c r="G8" s="58"/>
      <c r="H8" s="58"/>
      <c r="I8" s="58"/>
      <c r="J8" s="59"/>
    </row>
    <row r="9" spans="1:10" ht="15.75" customHeight="1" x14ac:dyDescent="0.2">
      <c r="B9" s="278"/>
      <c r="C9" s="278"/>
      <c r="D9" s="278"/>
      <c r="E9" s="278"/>
      <c r="F9" s="278"/>
      <c r="G9" s="278"/>
      <c r="H9" s="278"/>
    </row>
    <row r="10" spans="1:10" ht="15" customHeight="1" x14ac:dyDescent="0.2">
      <c r="B10" s="60" t="s">
        <v>84</v>
      </c>
      <c r="G10" s="60"/>
      <c r="H10" s="61" t="s">
        <v>85</v>
      </c>
    </row>
    <row r="11" spans="1:10" ht="14.25" x14ac:dyDescent="0.2">
      <c r="B11" s="62" t="s">
        <v>86</v>
      </c>
      <c r="G11" s="62"/>
      <c r="H11" s="63" t="str">
        <f>"D"&amp;J11</f>
        <v>D79</v>
      </c>
      <c r="J11" s="55">
        <v>79</v>
      </c>
    </row>
    <row r="12" spans="1:10" ht="15" x14ac:dyDescent="0.2">
      <c r="B12" s="62" t="s">
        <v>87</v>
      </c>
      <c r="G12" s="60"/>
      <c r="H12" s="61" t="s">
        <v>88</v>
      </c>
      <c r="J12" s="55">
        <v>6</v>
      </c>
    </row>
    <row r="13" spans="1:10" ht="14.25" x14ac:dyDescent="0.2">
      <c r="B13" s="62"/>
      <c r="G13" s="64"/>
      <c r="H13" s="65">
        <v>44945</v>
      </c>
    </row>
    <row r="14" spans="1:10" ht="15" x14ac:dyDescent="0.2">
      <c r="G14" s="60"/>
      <c r="H14" s="61" t="s">
        <v>89</v>
      </c>
    </row>
    <row r="15" spans="1:10" ht="14.25" x14ac:dyDescent="0.2">
      <c r="G15" s="64"/>
      <c r="H15" s="65">
        <f>B28+J12</f>
        <v>44949</v>
      </c>
    </row>
    <row r="16" spans="1:10" ht="14.25" x14ac:dyDescent="0.2">
      <c r="B16" s="62"/>
      <c r="F16" s="65"/>
      <c r="G16" s="65"/>
      <c r="H16" s="65"/>
    </row>
    <row r="17" spans="2:12" ht="14.25" x14ac:dyDescent="0.2">
      <c r="F17" s="65"/>
      <c r="G17" s="65"/>
      <c r="H17" s="66"/>
    </row>
    <row r="18" spans="2:12" ht="22.5" customHeight="1" x14ac:dyDescent="0.2">
      <c r="B18" s="279" t="s">
        <v>90</v>
      </c>
      <c r="C18" s="280"/>
      <c r="D18" s="280"/>
      <c r="E18" s="280"/>
      <c r="F18" s="65"/>
      <c r="G18" s="65"/>
      <c r="H18" s="66"/>
    </row>
    <row r="19" spans="2:12" ht="15" x14ac:dyDescent="0.2">
      <c r="B19" s="279" t="s">
        <v>159</v>
      </c>
      <c r="C19" s="280"/>
      <c r="D19" s="280"/>
      <c r="E19" s="280"/>
      <c r="F19" s="65"/>
      <c r="G19" s="65"/>
      <c r="H19" s="66"/>
    </row>
    <row r="20" spans="2:12" ht="14.25" x14ac:dyDescent="0.2">
      <c r="B20" s="282" t="s">
        <v>160</v>
      </c>
      <c r="C20" s="280"/>
      <c r="D20" s="280"/>
      <c r="E20" s="280"/>
      <c r="F20" s="65"/>
      <c r="G20" s="65"/>
      <c r="H20" s="66"/>
    </row>
    <row r="21" spans="2:12" ht="14.25" x14ac:dyDescent="0.2">
      <c r="B21" s="62"/>
      <c r="C21" s="67"/>
      <c r="D21" s="67"/>
      <c r="E21" s="67"/>
      <c r="F21" s="65"/>
      <c r="G21" s="65"/>
      <c r="H21" s="66"/>
    </row>
    <row r="22" spans="2:12" ht="14.25" x14ac:dyDescent="0.2">
      <c r="B22" s="62"/>
      <c r="C22" s="67"/>
      <c r="D22" s="67"/>
      <c r="E22" s="67"/>
      <c r="F22" s="65"/>
      <c r="G22" s="65"/>
      <c r="H22" s="66"/>
    </row>
    <row r="23" spans="2:12" ht="22.5" customHeight="1" x14ac:dyDescent="0.2">
      <c r="B23" s="282"/>
      <c r="C23" s="280"/>
      <c r="D23" s="280"/>
      <c r="E23" s="280"/>
      <c r="F23" s="67"/>
      <c r="G23" s="67"/>
      <c r="H23" s="67"/>
    </row>
    <row r="24" spans="2:12" ht="27.75" customHeight="1" x14ac:dyDescent="0.2">
      <c r="B24" s="280"/>
      <c r="C24" s="280"/>
      <c r="D24" s="280"/>
      <c r="E24" s="280"/>
      <c r="F24" s="280"/>
      <c r="G24" s="280"/>
      <c r="H24" s="280"/>
    </row>
    <row r="25" spans="2:12" ht="27.75" customHeight="1" x14ac:dyDescent="0.2">
      <c r="B25" s="67"/>
      <c r="C25" s="67"/>
      <c r="D25" s="67"/>
      <c r="E25" s="67"/>
      <c r="F25" s="67"/>
      <c r="G25" s="67"/>
      <c r="H25" s="67"/>
    </row>
    <row r="26" spans="2:12" ht="15.75" customHeight="1" x14ac:dyDescent="0.2">
      <c r="B26" s="67"/>
      <c r="C26" s="67"/>
      <c r="D26" s="67"/>
      <c r="E26" s="67"/>
      <c r="F26" s="67"/>
      <c r="G26" s="67"/>
      <c r="H26" s="67"/>
    </row>
    <row r="27" spans="2:12" ht="15" x14ac:dyDescent="0.25">
      <c r="B27" s="68" t="s">
        <v>88</v>
      </c>
      <c r="C27" s="272" t="s">
        <v>92</v>
      </c>
      <c r="D27" s="272"/>
      <c r="E27" s="69" t="s">
        <v>110</v>
      </c>
      <c r="F27" s="69" t="s">
        <v>94</v>
      </c>
      <c r="G27" s="70" t="s">
        <v>18</v>
      </c>
      <c r="H27" s="69" t="s">
        <v>121</v>
      </c>
    </row>
    <row r="28" spans="2:12" ht="25.5" customHeight="1" x14ac:dyDescent="0.2">
      <c r="B28" s="71">
        <v>44943</v>
      </c>
      <c r="C28" s="290" t="s">
        <v>122</v>
      </c>
      <c r="D28" s="280"/>
      <c r="E28" s="73">
        <v>38</v>
      </c>
      <c r="F28" s="74">
        <v>2</v>
      </c>
      <c r="G28" s="75">
        <v>0.1</v>
      </c>
      <c r="H28" s="73">
        <f>E28*F28</f>
        <v>76</v>
      </c>
    </row>
    <row r="29" spans="2:12" ht="14.25" x14ac:dyDescent="0.2">
      <c r="B29" s="76"/>
      <c r="C29" s="286"/>
      <c r="D29" s="287"/>
      <c r="E29" s="77"/>
      <c r="F29" s="78"/>
      <c r="G29" s="78"/>
      <c r="H29" s="77"/>
    </row>
    <row r="30" spans="2:12" ht="30" customHeight="1" x14ac:dyDescent="0.2">
      <c r="B30" s="72"/>
      <c r="C30" s="290"/>
      <c r="D30" s="280"/>
      <c r="E30" s="63"/>
      <c r="F30" s="79" t="s">
        <v>97</v>
      </c>
      <c r="G30" s="79"/>
      <c r="H30" s="80">
        <f>SUM(H28:H29)</f>
        <v>76</v>
      </c>
    </row>
    <row r="31" spans="2:12" ht="30" customHeight="1" x14ac:dyDescent="0.2">
      <c r="B31" s="72"/>
      <c r="C31" s="72"/>
      <c r="D31" s="67"/>
      <c r="E31" s="63"/>
      <c r="F31" s="79" t="s">
        <v>98</v>
      </c>
      <c r="G31" s="79"/>
      <c r="H31" s="80">
        <f>H30*0.1</f>
        <v>7.6000000000000005</v>
      </c>
      <c r="L31" s="113">
        <f>H33*4</f>
        <v>334.4</v>
      </c>
    </row>
    <row r="32" spans="2:12" ht="30" customHeight="1" x14ac:dyDescent="0.2">
      <c r="B32" s="72"/>
      <c r="C32" s="290"/>
      <c r="D32" s="280"/>
      <c r="E32" s="63"/>
      <c r="F32" s="81" t="s">
        <v>99</v>
      </c>
      <c r="G32" s="81"/>
      <c r="H32" s="82">
        <v>0</v>
      </c>
    </row>
    <row r="33" spans="1:11" ht="30" customHeight="1" x14ac:dyDescent="0.25">
      <c r="B33" s="83"/>
      <c r="C33" s="291"/>
      <c r="D33" s="278"/>
      <c r="E33" s="84"/>
      <c r="F33" s="85" t="s">
        <v>100</v>
      </c>
      <c r="G33" s="85"/>
      <c r="H33" s="86">
        <f>SUM(H30:H32)</f>
        <v>83.6</v>
      </c>
      <c r="K33" s="113"/>
    </row>
    <row r="34" spans="1:11" ht="30" customHeight="1" x14ac:dyDescent="0.25">
      <c r="B34" s="83"/>
      <c r="C34" s="83"/>
      <c r="E34" s="84"/>
      <c r="F34" s="85"/>
      <c r="G34" s="85"/>
      <c r="H34" s="87"/>
    </row>
    <row r="35" spans="1:11" ht="30" customHeight="1" x14ac:dyDescent="0.25">
      <c r="B35" s="83"/>
      <c r="C35" s="83"/>
      <c r="E35" s="84"/>
      <c r="F35" s="85"/>
      <c r="G35" s="85"/>
      <c r="H35" s="86"/>
    </row>
    <row r="36" spans="1:11" ht="30" customHeight="1" x14ac:dyDescent="0.25">
      <c r="B36" s="83"/>
      <c r="C36" s="83"/>
      <c r="E36" s="84"/>
      <c r="F36" s="85"/>
      <c r="G36" s="85"/>
      <c r="H36" s="86"/>
    </row>
    <row r="37" spans="1:11" ht="30" customHeight="1" x14ac:dyDescent="0.25">
      <c r="B37" s="83"/>
      <c r="C37" s="83"/>
      <c r="E37" s="84"/>
      <c r="F37" s="85"/>
      <c r="G37" s="85"/>
      <c r="H37" s="86"/>
    </row>
    <row r="38" spans="1:11" ht="30" customHeight="1" x14ac:dyDescent="0.25">
      <c r="B38" s="83"/>
      <c r="C38" s="83"/>
      <c r="E38" s="84"/>
      <c r="F38" s="85"/>
      <c r="G38" s="85"/>
      <c r="H38" s="86"/>
    </row>
    <row r="39" spans="1:11" ht="30" customHeight="1" x14ac:dyDescent="0.25">
      <c r="B39" s="83"/>
      <c r="C39" s="83"/>
      <c r="E39" s="84"/>
      <c r="F39" s="85"/>
      <c r="G39" s="85"/>
      <c r="H39" s="86"/>
    </row>
    <row r="40" spans="1:11" ht="30" customHeight="1" x14ac:dyDescent="0.25">
      <c r="B40" s="83"/>
      <c r="C40" s="83"/>
      <c r="E40" s="84"/>
      <c r="F40" s="85"/>
      <c r="G40" s="85"/>
      <c r="H40" s="86"/>
    </row>
    <row r="41" spans="1:11" ht="30" customHeight="1" x14ac:dyDescent="0.2">
      <c r="B41" s="83"/>
      <c r="C41" s="88"/>
      <c r="D41" s="292" t="s">
        <v>101</v>
      </c>
      <c r="E41" s="292"/>
      <c r="F41" s="292"/>
      <c r="G41" s="89"/>
      <c r="H41" s="90"/>
    </row>
    <row r="42" spans="1:11" ht="12.75" customHeight="1" x14ac:dyDescent="0.2"/>
    <row r="43" spans="1:11" ht="12.75" x14ac:dyDescent="0.2">
      <c r="A43" s="53"/>
      <c r="B43" s="91" t="s">
        <v>102</v>
      </c>
      <c r="C43" s="92"/>
      <c r="D43" s="92"/>
      <c r="E43" s="300" t="s">
        <v>103</v>
      </c>
      <c r="F43" s="300"/>
      <c r="G43" s="300"/>
      <c r="H43" s="300"/>
      <c r="I43" s="300"/>
    </row>
    <row r="44" spans="1:11" ht="14.25" customHeight="1" x14ac:dyDescent="0.2">
      <c r="A44" s="53"/>
      <c r="B44" s="94" t="s">
        <v>104</v>
      </c>
      <c r="C44" s="53"/>
      <c r="D44" s="53"/>
      <c r="E44" s="283">
        <f>H33</f>
        <v>83.6</v>
      </c>
      <c r="F44" s="283"/>
      <c r="G44" s="283"/>
      <c r="H44" s="283"/>
      <c r="I44" s="283"/>
    </row>
    <row r="45" spans="1:11" ht="15.75" customHeight="1" x14ac:dyDescent="0.2">
      <c r="A45" s="53"/>
      <c r="B45" s="94" t="s">
        <v>105</v>
      </c>
      <c r="C45" s="53"/>
      <c r="D45" s="53"/>
      <c r="E45" s="283"/>
      <c r="F45" s="283"/>
      <c r="G45" s="283"/>
      <c r="H45" s="283"/>
      <c r="I45" s="283"/>
    </row>
    <row r="46" spans="1:11" ht="14.25" x14ac:dyDescent="0.2">
      <c r="A46" s="53"/>
      <c r="B46" s="94" t="s">
        <v>106</v>
      </c>
      <c r="C46" s="53"/>
      <c r="D46" s="53"/>
      <c r="E46" s="95"/>
      <c r="F46" s="95"/>
      <c r="G46" s="95"/>
      <c r="H46" s="95"/>
      <c r="I46" s="95"/>
    </row>
    <row r="47" spans="1:11" ht="14.25" x14ac:dyDescent="0.2">
      <c r="A47" s="53"/>
      <c r="B47" s="94" t="s">
        <v>107</v>
      </c>
      <c r="C47" s="96"/>
      <c r="D47" s="96"/>
      <c r="E47" s="97"/>
      <c r="F47" s="97"/>
      <c r="G47" s="97"/>
      <c r="H47" s="97"/>
      <c r="I47" s="95"/>
    </row>
    <row r="48" spans="1:11" ht="53.25" customHeight="1" x14ac:dyDescent="0.2">
      <c r="B48" s="284"/>
      <c r="C48" s="278"/>
      <c r="D48" s="278"/>
      <c r="E48" s="278"/>
      <c r="F48" s="278"/>
      <c r="G48" s="278"/>
      <c r="H48" s="278"/>
    </row>
    <row r="52" spans="6:7" ht="15.75" customHeight="1" x14ac:dyDescent="0.2">
      <c r="F52" s="62"/>
      <c r="G52" s="62"/>
    </row>
    <row r="53" spans="6:7" ht="15.75" customHeight="1" x14ac:dyDescent="0.2">
      <c r="F53" s="62"/>
      <c r="G53" s="62"/>
    </row>
    <row r="54" spans="6:7" ht="15.75" customHeight="1" x14ac:dyDescent="0.2">
      <c r="F54" s="62"/>
      <c r="G54" s="62"/>
    </row>
    <row r="57" spans="6:7" ht="15.75" customHeight="1" x14ac:dyDescent="0.2">
      <c r="F57" s="62"/>
      <c r="G57" s="62"/>
    </row>
    <row r="59" spans="6:7" ht="15.75" customHeight="1" x14ac:dyDescent="0.2">
      <c r="F59" s="62"/>
      <c r="G59" s="62"/>
    </row>
  </sheetData>
  <mergeCells count="21">
    <mergeCell ref="E43:I43"/>
    <mergeCell ref="E44:I45"/>
    <mergeCell ref="B48:H48"/>
    <mergeCell ref="C28:D28"/>
    <mergeCell ref="C29:D29"/>
    <mergeCell ref="C30:D30"/>
    <mergeCell ref="C32:D32"/>
    <mergeCell ref="C33:D33"/>
    <mergeCell ref="D41:F41"/>
    <mergeCell ref="C27:D27"/>
    <mergeCell ref="E3:H3"/>
    <mergeCell ref="B4:D6"/>
    <mergeCell ref="E4:H4"/>
    <mergeCell ref="E5:H5"/>
    <mergeCell ref="E6:H6"/>
    <mergeCell ref="B9:H9"/>
    <mergeCell ref="B18:E18"/>
    <mergeCell ref="B19:E19"/>
    <mergeCell ref="B20:E20"/>
    <mergeCell ref="B23:E23"/>
    <mergeCell ref="B24:H24"/>
  </mergeCells>
  <conditionalFormatting sqref="B26">
    <cfRule type="notContainsBlanks" dxfId="43" priority="1">
      <formula>LEN(TRIM(B26))&gt;0</formula>
    </cfRule>
  </conditionalFormatting>
  <hyperlinks>
    <hyperlink ref="B12" r:id="rId1" xr:uid="{A2D4CEDD-6D64-42AC-B34E-7716B65D881E}"/>
  </hyperlinks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78" orientation="portrait" r:id="rId2"/>
  <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4280E0-6315-4DE9-9E95-FFD356982390}">
  <sheetPr codeName="Sheet17">
    <tabColor theme="4" tint="-0.249977111117893"/>
    <outlinePr summaryBelow="0" summaryRight="0"/>
    <pageSetUpPr fitToPage="1"/>
  </sheetPr>
  <dimension ref="A1:L59"/>
  <sheetViews>
    <sheetView showGridLines="0" topLeftCell="A7" workbookViewId="0">
      <selection activeCell="H11" sqref="H11"/>
    </sheetView>
  </sheetViews>
  <sheetFormatPr defaultColWidth="14.42578125" defaultRowHeight="15.75" customHeight="1" x14ac:dyDescent="0.2"/>
  <cols>
    <col min="1" max="1" width="3.42578125" style="55" customWidth="1"/>
    <col min="2" max="3" width="14.42578125" style="55"/>
    <col min="4" max="4" width="26.7109375" style="55" customWidth="1"/>
    <col min="5" max="5" width="18.140625" style="55" bestFit="1" customWidth="1"/>
    <col min="6" max="6" width="16.42578125" style="55" customWidth="1"/>
    <col min="7" max="7" width="12.7109375" style="55" customWidth="1"/>
    <col min="8" max="8" width="17.42578125" style="55" customWidth="1"/>
    <col min="9" max="9" width="3.42578125" style="55" customWidth="1"/>
    <col min="10" max="16384" width="14.42578125" style="55"/>
  </cols>
  <sheetData>
    <row r="1" spans="1:10" ht="39" customHeight="1" x14ac:dyDescent="0.2">
      <c r="A1" s="53"/>
      <c r="B1" s="54"/>
      <c r="C1" s="54"/>
      <c r="D1" s="54"/>
      <c r="E1" s="54"/>
      <c r="F1" s="54"/>
      <c r="G1" s="54"/>
      <c r="H1" s="54"/>
      <c r="I1" s="54"/>
    </row>
    <row r="2" spans="1:10" x14ac:dyDescent="0.25">
      <c r="A2" s="53"/>
      <c r="B2" s="56"/>
      <c r="C2" s="56"/>
      <c r="D2" s="56"/>
      <c r="E2" s="57"/>
      <c r="F2" s="57"/>
      <c r="G2" s="57"/>
      <c r="H2" s="57"/>
      <c r="I2" s="56"/>
    </row>
    <row r="3" spans="1:10" ht="12.75" x14ac:dyDescent="0.2">
      <c r="A3" s="53"/>
      <c r="B3" s="56"/>
      <c r="C3" s="56"/>
      <c r="D3" s="56"/>
      <c r="E3" s="273"/>
      <c r="F3" s="274"/>
      <c r="G3" s="274"/>
      <c r="H3" s="274"/>
      <c r="I3" s="56"/>
    </row>
    <row r="4" spans="1:10" ht="12.75" x14ac:dyDescent="0.2">
      <c r="A4" s="53"/>
      <c r="B4" s="275" t="s">
        <v>83</v>
      </c>
      <c r="C4" s="276"/>
      <c r="D4" s="276"/>
      <c r="E4" s="277"/>
      <c r="F4" s="274"/>
      <c r="G4" s="274"/>
      <c r="H4" s="274"/>
      <c r="I4" s="56"/>
    </row>
    <row r="5" spans="1:10" ht="12.75" x14ac:dyDescent="0.2">
      <c r="A5" s="53"/>
      <c r="B5" s="276"/>
      <c r="C5" s="276"/>
      <c r="D5" s="276"/>
      <c r="E5" s="277"/>
      <c r="F5" s="274"/>
      <c r="G5" s="274"/>
      <c r="H5" s="274"/>
      <c r="I5" s="56"/>
    </row>
    <row r="6" spans="1:10" ht="12.75" x14ac:dyDescent="0.2">
      <c r="A6" s="53"/>
      <c r="B6" s="276"/>
      <c r="C6" s="276"/>
      <c r="D6" s="276"/>
      <c r="E6" s="277"/>
      <c r="F6" s="274"/>
      <c r="G6" s="274"/>
      <c r="H6" s="274"/>
      <c r="I6" s="56"/>
    </row>
    <row r="7" spans="1:10" ht="36.75" customHeight="1" x14ac:dyDescent="0.2">
      <c r="A7" s="53"/>
      <c r="B7" s="54"/>
      <c r="C7" s="54"/>
      <c r="D7" s="54"/>
      <c r="E7" s="54"/>
      <c r="F7" s="54"/>
      <c r="G7" s="54"/>
      <c r="H7" s="54"/>
      <c r="I7" s="54"/>
    </row>
    <row r="8" spans="1:10" ht="21.75" customHeight="1" x14ac:dyDescent="0.2">
      <c r="B8" s="58"/>
      <c r="C8" s="58"/>
      <c r="D8" s="58"/>
      <c r="E8" s="58"/>
      <c r="F8" s="58"/>
      <c r="G8" s="58"/>
      <c r="H8" s="58"/>
      <c r="I8" s="58"/>
      <c r="J8" s="59"/>
    </row>
    <row r="9" spans="1:10" ht="15.75" customHeight="1" x14ac:dyDescent="0.2">
      <c r="B9" s="278"/>
      <c r="C9" s="278"/>
      <c r="D9" s="278"/>
      <c r="E9" s="278"/>
      <c r="F9" s="278"/>
      <c r="G9" s="278"/>
      <c r="H9" s="278"/>
    </row>
    <row r="10" spans="1:10" ht="15" customHeight="1" x14ac:dyDescent="0.2">
      <c r="B10" s="60" t="s">
        <v>84</v>
      </c>
      <c r="G10" s="60"/>
      <c r="H10" s="61" t="s">
        <v>85</v>
      </c>
    </row>
    <row r="11" spans="1:10" ht="14.25" x14ac:dyDescent="0.2">
      <c r="B11" s="62" t="s">
        <v>86</v>
      </c>
      <c r="G11" s="62"/>
      <c r="H11" s="63" t="str">
        <f>"JL"&amp;J11</f>
        <v>JL53</v>
      </c>
      <c r="J11" s="55">
        <v>53</v>
      </c>
    </row>
    <row r="12" spans="1:10" ht="15" x14ac:dyDescent="0.2">
      <c r="B12" s="62" t="s">
        <v>87</v>
      </c>
      <c r="G12" s="60"/>
      <c r="H12" s="61" t="s">
        <v>88</v>
      </c>
      <c r="J12" s="55">
        <v>7</v>
      </c>
    </row>
    <row r="13" spans="1:10" ht="14.25" x14ac:dyDescent="0.2">
      <c r="B13" s="62"/>
      <c r="G13" s="64"/>
      <c r="H13" s="65">
        <v>44945</v>
      </c>
    </row>
    <row r="14" spans="1:10" ht="15" x14ac:dyDescent="0.2">
      <c r="G14" s="60"/>
      <c r="H14" s="61" t="s">
        <v>89</v>
      </c>
    </row>
    <row r="15" spans="1:10" ht="14.25" x14ac:dyDescent="0.2">
      <c r="G15" s="64"/>
      <c r="H15" s="65">
        <f>H13+J12</f>
        <v>44952</v>
      </c>
    </row>
    <row r="16" spans="1:10" ht="14.25" x14ac:dyDescent="0.2">
      <c r="B16" s="62"/>
      <c r="F16" s="65"/>
      <c r="G16" s="65"/>
      <c r="H16" s="65"/>
    </row>
    <row r="17" spans="2:8" ht="14.25" x14ac:dyDescent="0.2">
      <c r="F17" s="65"/>
      <c r="G17" s="65"/>
      <c r="H17" s="66"/>
    </row>
    <row r="18" spans="2:8" ht="22.5" customHeight="1" x14ac:dyDescent="0.2">
      <c r="B18" s="279" t="s">
        <v>90</v>
      </c>
      <c r="C18" s="280"/>
      <c r="D18" s="280"/>
      <c r="E18" s="280"/>
      <c r="F18" s="65"/>
      <c r="G18" s="65"/>
      <c r="H18" s="66"/>
    </row>
    <row r="19" spans="2:8" ht="15" x14ac:dyDescent="0.2">
      <c r="B19" s="279" t="s">
        <v>161</v>
      </c>
      <c r="C19" s="280"/>
      <c r="D19" s="280"/>
      <c r="E19" s="280"/>
      <c r="F19" s="65"/>
      <c r="G19" s="65"/>
      <c r="H19" s="66"/>
    </row>
    <row r="20" spans="2:8" ht="14.25" x14ac:dyDescent="0.2">
      <c r="B20" s="282" t="s">
        <v>162</v>
      </c>
      <c r="C20" s="280"/>
      <c r="D20" s="280"/>
      <c r="E20" s="280"/>
      <c r="F20" s="65"/>
      <c r="G20" s="65"/>
      <c r="H20" s="66"/>
    </row>
    <row r="21" spans="2:8" ht="14.25" x14ac:dyDescent="0.2">
      <c r="B21" s="62"/>
      <c r="C21" s="67"/>
      <c r="D21" s="67"/>
      <c r="E21" s="67"/>
      <c r="F21" s="65"/>
      <c r="G21" s="65"/>
      <c r="H21" s="66"/>
    </row>
    <row r="22" spans="2:8" ht="14.25" x14ac:dyDescent="0.2">
      <c r="B22" s="62"/>
      <c r="C22" s="67"/>
      <c r="D22" s="67"/>
      <c r="E22" s="67"/>
      <c r="F22" s="65"/>
      <c r="G22" s="65"/>
      <c r="H22" s="66"/>
    </row>
    <row r="23" spans="2:8" ht="22.5" customHeight="1" x14ac:dyDescent="0.2">
      <c r="B23" s="282"/>
      <c r="C23" s="280"/>
      <c r="D23" s="280"/>
      <c r="E23" s="280"/>
      <c r="F23" s="67"/>
      <c r="G23" s="67"/>
      <c r="H23" s="67"/>
    </row>
    <row r="24" spans="2:8" ht="27.75" customHeight="1" x14ac:dyDescent="0.2">
      <c r="B24" s="280"/>
      <c r="C24" s="280"/>
      <c r="D24" s="280"/>
      <c r="E24" s="280"/>
      <c r="F24" s="280"/>
      <c r="G24" s="280"/>
      <c r="H24" s="280"/>
    </row>
    <row r="25" spans="2:8" ht="27.75" customHeight="1" x14ac:dyDescent="0.2">
      <c r="B25" s="67"/>
      <c r="C25" s="67"/>
      <c r="D25" s="67"/>
      <c r="E25" s="67"/>
      <c r="F25" s="67"/>
      <c r="G25" s="67"/>
      <c r="H25" s="67"/>
    </row>
    <row r="26" spans="2:8" ht="15.75" customHeight="1" x14ac:dyDescent="0.2">
      <c r="B26" s="67"/>
      <c r="C26" s="67"/>
      <c r="D26" s="67"/>
      <c r="E26" s="67"/>
      <c r="F26" s="67"/>
      <c r="G26" s="67"/>
      <c r="H26" s="67"/>
    </row>
    <row r="27" spans="2:8" ht="15" x14ac:dyDescent="0.25">
      <c r="B27" s="68" t="s">
        <v>88</v>
      </c>
      <c r="C27" s="272" t="s">
        <v>92</v>
      </c>
      <c r="D27" s="272"/>
      <c r="E27" s="69" t="s">
        <v>93</v>
      </c>
      <c r="F27" s="69" t="s">
        <v>129</v>
      </c>
      <c r="G27" s="70" t="s">
        <v>18</v>
      </c>
      <c r="H27" s="69" t="s">
        <v>121</v>
      </c>
    </row>
    <row r="28" spans="2:8" ht="25.5" customHeight="1" x14ac:dyDescent="0.2">
      <c r="B28" s="71">
        <v>44943</v>
      </c>
      <c r="C28" s="290" t="s">
        <v>122</v>
      </c>
      <c r="D28" s="280"/>
      <c r="E28" s="73">
        <v>38</v>
      </c>
      <c r="F28" s="74">
        <v>2.5</v>
      </c>
      <c r="G28" s="75">
        <v>0.1</v>
      </c>
      <c r="H28" s="73">
        <f>E28*F28</f>
        <v>95</v>
      </c>
    </row>
    <row r="29" spans="2:8" ht="30" customHeight="1" x14ac:dyDescent="0.2">
      <c r="B29" s="76"/>
      <c r="C29" s="286"/>
      <c r="D29" s="287"/>
      <c r="E29" s="77"/>
      <c r="F29" s="78"/>
      <c r="G29" s="78"/>
      <c r="H29" s="77"/>
    </row>
    <row r="30" spans="2:8" ht="30" customHeight="1" x14ac:dyDescent="0.2">
      <c r="B30" s="72"/>
      <c r="C30" s="290"/>
      <c r="D30" s="280"/>
      <c r="E30" s="63"/>
      <c r="F30" s="79" t="s">
        <v>97</v>
      </c>
      <c r="G30" s="79"/>
      <c r="H30" s="80">
        <f>SUM(H28:H29)</f>
        <v>95</v>
      </c>
    </row>
    <row r="31" spans="2:8" ht="30" customHeight="1" x14ac:dyDescent="0.2">
      <c r="B31" s="72"/>
      <c r="C31" s="72"/>
      <c r="D31" s="67"/>
      <c r="E31" s="63"/>
      <c r="F31" s="79" t="s">
        <v>98</v>
      </c>
      <c r="G31" s="79"/>
      <c r="H31" s="80">
        <f>H30*0.1</f>
        <v>9.5</v>
      </c>
    </row>
    <row r="32" spans="2:8" ht="30" customHeight="1" x14ac:dyDescent="0.2">
      <c r="B32" s="72"/>
      <c r="C32" s="290"/>
      <c r="D32" s="280"/>
      <c r="E32" s="63"/>
      <c r="F32" s="81" t="s">
        <v>99</v>
      </c>
      <c r="G32" s="81"/>
      <c r="H32" s="82">
        <v>0</v>
      </c>
    </row>
    <row r="33" spans="1:12" ht="30" customHeight="1" x14ac:dyDescent="0.25">
      <c r="B33" s="83"/>
      <c r="C33" s="291"/>
      <c r="D33" s="278"/>
      <c r="E33" s="84"/>
      <c r="F33" s="85" t="s">
        <v>100</v>
      </c>
      <c r="G33" s="85"/>
      <c r="H33" s="86">
        <f>SUM(H30:H32)</f>
        <v>104.5</v>
      </c>
    </row>
    <row r="34" spans="1:12" ht="30" customHeight="1" x14ac:dyDescent="0.25">
      <c r="B34" s="83"/>
      <c r="C34" s="83"/>
      <c r="E34" s="84"/>
      <c r="F34" s="85"/>
      <c r="G34" s="85"/>
      <c r="H34" s="87"/>
      <c r="L34" s="113"/>
    </row>
    <row r="35" spans="1:12" ht="30" customHeight="1" x14ac:dyDescent="0.25">
      <c r="B35" s="83"/>
      <c r="C35" s="83"/>
      <c r="E35" s="84"/>
      <c r="F35" s="85"/>
      <c r="G35" s="85"/>
      <c r="H35" s="86"/>
    </row>
    <row r="36" spans="1:12" ht="30" customHeight="1" x14ac:dyDescent="0.25">
      <c r="B36" s="83"/>
      <c r="C36" s="83"/>
      <c r="E36" s="84"/>
      <c r="F36" s="85"/>
      <c r="G36" s="85"/>
      <c r="H36" s="86"/>
    </row>
    <row r="37" spans="1:12" ht="30" customHeight="1" x14ac:dyDescent="0.25">
      <c r="B37" s="83"/>
      <c r="C37" s="83"/>
      <c r="E37" s="84"/>
      <c r="F37" s="85"/>
      <c r="G37" s="85"/>
      <c r="H37" s="86"/>
    </row>
    <row r="38" spans="1:12" ht="30" customHeight="1" x14ac:dyDescent="0.25">
      <c r="B38" s="83"/>
      <c r="C38" s="83"/>
      <c r="E38" s="84"/>
      <c r="F38" s="85"/>
      <c r="G38" s="85"/>
      <c r="H38" s="86"/>
    </row>
    <row r="39" spans="1:12" ht="30" customHeight="1" x14ac:dyDescent="0.25">
      <c r="B39" s="83"/>
      <c r="C39" s="83"/>
      <c r="E39" s="84"/>
      <c r="F39" s="85"/>
      <c r="G39" s="85"/>
      <c r="H39" s="86"/>
    </row>
    <row r="40" spans="1:12" ht="30" customHeight="1" x14ac:dyDescent="0.25">
      <c r="B40" s="83"/>
      <c r="C40" s="83"/>
      <c r="E40" s="84"/>
      <c r="F40" s="85"/>
      <c r="G40" s="85"/>
      <c r="H40" s="86"/>
    </row>
    <row r="41" spans="1:12" ht="30" customHeight="1" x14ac:dyDescent="0.2">
      <c r="B41" s="83"/>
      <c r="C41" s="88"/>
      <c r="D41" s="292" t="s">
        <v>101</v>
      </c>
      <c r="E41" s="292"/>
      <c r="F41" s="292"/>
      <c r="G41" s="89"/>
      <c r="H41" s="90"/>
    </row>
    <row r="42" spans="1:12" ht="12.75" customHeight="1" x14ac:dyDescent="0.2"/>
    <row r="43" spans="1:12" ht="12.75" x14ac:dyDescent="0.2">
      <c r="A43" s="53"/>
      <c r="B43" s="91" t="s">
        <v>102</v>
      </c>
      <c r="C43" s="92"/>
      <c r="D43" s="92"/>
      <c r="E43" s="300" t="s">
        <v>103</v>
      </c>
      <c r="F43" s="300"/>
      <c r="G43" s="300"/>
      <c r="H43" s="300"/>
      <c r="I43" s="300"/>
    </row>
    <row r="44" spans="1:12" ht="14.25" customHeight="1" x14ac:dyDescent="0.2">
      <c r="A44" s="53"/>
      <c r="B44" s="94" t="s">
        <v>104</v>
      </c>
      <c r="C44" s="53"/>
      <c r="D44" s="53"/>
      <c r="E44" s="283">
        <f>H33</f>
        <v>104.5</v>
      </c>
      <c r="F44" s="283"/>
      <c r="G44" s="283"/>
      <c r="H44" s="283"/>
      <c r="I44" s="283"/>
    </row>
    <row r="45" spans="1:12" ht="15.75" customHeight="1" x14ac:dyDescent="0.2">
      <c r="A45" s="53"/>
      <c r="B45" s="94" t="s">
        <v>105</v>
      </c>
      <c r="C45" s="53"/>
      <c r="D45" s="53"/>
      <c r="E45" s="283"/>
      <c r="F45" s="283"/>
      <c r="G45" s="283"/>
      <c r="H45" s="283"/>
      <c r="I45" s="283"/>
    </row>
    <row r="46" spans="1:12" ht="14.25" x14ac:dyDescent="0.2">
      <c r="A46" s="53"/>
      <c r="B46" s="94" t="s">
        <v>106</v>
      </c>
      <c r="C46" s="53"/>
      <c r="D46" s="53"/>
      <c r="E46" s="95"/>
      <c r="F46" s="95"/>
      <c r="G46" s="95"/>
      <c r="H46" s="95"/>
      <c r="I46" s="95"/>
    </row>
    <row r="47" spans="1:12" ht="14.25" x14ac:dyDescent="0.2">
      <c r="A47" s="53"/>
      <c r="B47" s="94" t="s">
        <v>107</v>
      </c>
      <c r="C47" s="96"/>
      <c r="D47" s="96"/>
      <c r="E47" s="97"/>
      <c r="F47" s="97"/>
      <c r="G47" s="97"/>
      <c r="H47" s="97"/>
      <c r="I47" s="95"/>
    </row>
    <row r="48" spans="1:12" ht="53.25" customHeight="1" x14ac:dyDescent="0.2">
      <c r="B48" s="284"/>
      <c r="C48" s="278"/>
      <c r="D48" s="278"/>
      <c r="E48" s="278"/>
      <c r="F48" s="278"/>
      <c r="G48" s="278"/>
      <c r="H48" s="278"/>
    </row>
    <row r="52" spans="6:7" ht="15.75" customHeight="1" x14ac:dyDescent="0.2">
      <c r="F52" s="62"/>
      <c r="G52" s="62"/>
    </row>
    <row r="53" spans="6:7" ht="15.75" customHeight="1" x14ac:dyDescent="0.2">
      <c r="F53" s="62"/>
      <c r="G53" s="62"/>
    </row>
    <row r="54" spans="6:7" ht="15.75" customHeight="1" x14ac:dyDescent="0.2">
      <c r="F54" s="62"/>
      <c r="G54" s="62"/>
    </row>
    <row r="57" spans="6:7" ht="15.75" customHeight="1" x14ac:dyDescent="0.2">
      <c r="F57" s="62"/>
      <c r="G57" s="62"/>
    </row>
    <row r="59" spans="6:7" ht="15.75" customHeight="1" x14ac:dyDescent="0.2">
      <c r="F59" s="62"/>
      <c r="G59" s="62"/>
    </row>
  </sheetData>
  <mergeCells count="21">
    <mergeCell ref="E43:I43"/>
    <mergeCell ref="E44:I45"/>
    <mergeCell ref="B48:H48"/>
    <mergeCell ref="C28:D28"/>
    <mergeCell ref="C29:D29"/>
    <mergeCell ref="C30:D30"/>
    <mergeCell ref="C32:D32"/>
    <mergeCell ref="C33:D33"/>
    <mergeCell ref="D41:F41"/>
    <mergeCell ref="C27:D27"/>
    <mergeCell ref="E3:H3"/>
    <mergeCell ref="B4:D6"/>
    <mergeCell ref="E4:H4"/>
    <mergeCell ref="E5:H5"/>
    <mergeCell ref="E6:H6"/>
    <mergeCell ref="B9:H9"/>
    <mergeCell ref="B18:E18"/>
    <mergeCell ref="B19:E19"/>
    <mergeCell ref="B20:E20"/>
    <mergeCell ref="B23:E23"/>
    <mergeCell ref="B24:H24"/>
  </mergeCells>
  <conditionalFormatting sqref="B26">
    <cfRule type="notContainsBlanks" dxfId="42" priority="1">
      <formula>LEN(TRIM(B26))&gt;0</formula>
    </cfRule>
  </conditionalFormatting>
  <hyperlinks>
    <hyperlink ref="B12" r:id="rId1" xr:uid="{21EA0BBA-906A-4695-BAD0-9E2DC1B15171}"/>
  </hyperlinks>
  <pageMargins left="0.28999999999999998" right="0.19" top="0.6" bottom="0.5" header="0.31496062000000002" footer="0.31496062000000002"/>
  <pageSetup paperSize="9" scale="78" orientation="portrait" r:id="rId2"/>
  <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8A64AD-8575-46EB-A4D1-FCF438D6D2D7}">
  <sheetPr codeName="Sheet18">
    <tabColor theme="4" tint="-0.249977111117893"/>
    <outlinePr summaryBelow="0" summaryRight="0"/>
    <pageSetUpPr fitToPage="1"/>
  </sheetPr>
  <dimension ref="A1:L59"/>
  <sheetViews>
    <sheetView showGridLines="0" topLeftCell="A6" workbookViewId="0">
      <selection activeCell="J14" sqref="J14"/>
    </sheetView>
  </sheetViews>
  <sheetFormatPr defaultColWidth="14.42578125" defaultRowHeight="15.75" customHeight="1" x14ac:dyDescent="0.2"/>
  <cols>
    <col min="1" max="1" width="3.42578125" style="55" customWidth="1"/>
    <col min="2" max="3" width="14.42578125" style="55"/>
    <col min="4" max="4" width="29.28515625" style="55" customWidth="1"/>
    <col min="5" max="5" width="17.42578125" style="55" customWidth="1"/>
    <col min="6" max="6" width="14.7109375" style="55" customWidth="1"/>
    <col min="7" max="7" width="12.42578125" style="55" customWidth="1"/>
    <col min="8" max="8" width="16.42578125" style="55" customWidth="1"/>
    <col min="9" max="9" width="2.42578125" style="55" customWidth="1"/>
    <col min="10" max="16384" width="14.42578125" style="55"/>
  </cols>
  <sheetData>
    <row r="1" spans="1:10" ht="39" customHeight="1" x14ac:dyDescent="0.2">
      <c r="A1" s="53"/>
      <c r="B1" s="54"/>
      <c r="C1" s="54"/>
      <c r="D1" s="54"/>
      <c r="E1" s="54"/>
      <c r="F1" s="54"/>
      <c r="G1" s="54"/>
      <c r="H1" s="54"/>
      <c r="I1" s="54"/>
    </row>
    <row r="2" spans="1:10" x14ac:dyDescent="0.25">
      <c r="A2" s="53"/>
      <c r="B2" s="56"/>
      <c r="C2" s="56"/>
      <c r="D2" s="56"/>
      <c r="E2" s="57"/>
      <c r="F2" s="57"/>
      <c r="G2" s="57"/>
      <c r="H2" s="57"/>
      <c r="I2" s="56"/>
    </row>
    <row r="3" spans="1:10" ht="12.75" x14ac:dyDescent="0.2">
      <c r="A3" s="53"/>
      <c r="B3" s="56"/>
      <c r="C3" s="56"/>
      <c r="D3" s="56"/>
      <c r="E3" s="273"/>
      <c r="F3" s="274"/>
      <c r="G3" s="274"/>
      <c r="H3" s="274"/>
      <c r="I3" s="56"/>
    </row>
    <row r="4" spans="1:10" ht="12.75" x14ac:dyDescent="0.2">
      <c r="A4" s="53"/>
      <c r="B4" s="275" t="s">
        <v>83</v>
      </c>
      <c r="C4" s="276"/>
      <c r="D4" s="276"/>
      <c r="E4" s="277"/>
      <c r="F4" s="274"/>
      <c r="G4" s="274"/>
      <c r="H4" s="274"/>
      <c r="I4" s="56"/>
    </row>
    <row r="5" spans="1:10" ht="12.75" x14ac:dyDescent="0.2">
      <c r="A5" s="53"/>
      <c r="B5" s="276"/>
      <c r="C5" s="276"/>
      <c r="D5" s="276"/>
      <c r="E5" s="277"/>
      <c r="F5" s="274"/>
      <c r="G5" s="274"/>
      <c r="H5" s="274"/>
      <c r="I5" s="56"/>
    </row>
    <row r="6" spans="1:10" ht="12.75" x14ac:dyDescent="0.2">
      <c r="A6" s="53"/>
      <c r="B6" s="276"/>
      <c r="C6" s="276"/>
      <c r="D6" s="276"/>
      <c r="E6" s="277"/>
      <c r="F6" s="274"/>
      <c r="G6" s="274"/>
      <c r="H6" s="274"/>
      <c r="I6" s="56"/>
    </row>
    <row r="7" spans="1:10" ht="36.75" customHeight="1" x14ac:dyDescent="0.2">
      <c r="A7" s="53"/>
      <c r="B7" s="54"/>
      <c r="C7" s="54"/>
      <c r="D7" s="54"/>
      <c r="E7" s="54"/>
      <c r="F7" s="54"/>
      <c r="G7" s="54"/>
      <c r="H7" s="54"/>
      <c r="I7" s="54"/>
    </row>
    <row r="8" spans="1:10" ht="21.75" customHeight="1" x14ac:dyDescent="0.2">
      <c r="B8" s="58"/>
      <c r="C8" s="58"/>
      <c r="D8" s="58"/>
      <c r="E8" s="58"/>
      <c r="F8" s="58"/>
      <c r="G8" s="58"/>
      <c r="H8" s="58"/>
      <c r="I8" s="58"/>
      <c r="J8" s="59"/>
    </row>
    <row r="9" spans="1:10" ht="15.75" customHeight="1" x14ac:dyDescent="0.2">
      <c r="B9" s="278"/>
      <c r="C9" s="278"/>
      <c r="D9" s="278"/>
      <c r="E9" s="278"/>
      <c r="F9" s="278"/>
      <c r="G9" s="278"/>
      <c r="H9" s="278"/>
    </row>
    <row r="10" spans="1:10" ht="15" customHeight="1" x14ac:dyDescent="0.2">
      <c r="B10" s="60" t="s">
        <v>84</v>
      </c>
      <c r="G10" s="60"/>
      <c r="H10" s="61" t="s">
        <v>85</v>
      </c>
    </row>
    <row r="11" spans="1:10" ht="14.25" x14ac:dyDescent="0.2">
      <c r="B11" s="62" t="s">
        <v>86</v>
      </c>
      <c r="G11" s="62"/>
      <c r="H11" s="63" t="str">
        <f>"JM"&amp;J11</f>
        <v>JM36</v>
      </c>
      <c r="J11" s="55">
        <v>36</v>
      </c>
    </row>
    <row r="12" spans="1:10" ht="15" x14ac:dyDescent="0.2">
      <c r="B12" s="62" t="s">
        <v>87</v>
      </c>
      <c r="G12" s="60"/>
      <c r="H12" s="61" t="s">
        <v>88</v>
      </c>
      <c r="J12" s="55">
        <v>7</v>
      </c>
    </row>
    <row r="13" spans="1:10" ht="14.25" x14ac:dyDescent="0.2">
      <c r="B13" s="62"/>
      <c r="G13" s="64"/>
      <c r="H13" s="65">
        <v>44945</v>
      </c>
    </row>
    <row r="14" spans="1:10" ht="15" x14ac:dyDescent="0.2">
      <c r="G14" s="60"/>
      <c r="H14" s="61" t="s">
        <v>89</v>
      </c>
    </row>
    <row r="15" spans="1:10" ht="14.25" x14ac:dyDescent="0.2">
      <c r="G15" s="64"/>
      <c r="H15" s="65">
        <f>H13+J12</f>
        <v>44952</v>
      </c>
    </row>
    <row r="16" spans="1:10" ht="14.25" x14ac:dyDescent="0.2">
      <c r="B16" s="62"/>
      <c r="F16" s="65"/>
      <c r="G16" s="65"/>
      <c r="H16" s="65"/>
    </row>
    <row r="17" spans="2:8" ht="14.25" x14ac:dyDescent="0.2">
      <c r="F17" s="65"/>
      <c r="G17" s="65"/>
      <c r="H17" s="66"/>
    </row>
    <row r="18" spans="2:8" ht="22.5" customHeight="1" x14ac:dyDescent="0.2">
      <c r="B18" s="279" t="s">
        <v>90</v>
      </c>
      <c r="C18" s="280"/>
      <c r="D18" s="280"/>
      <c r="E18" s="280"/>
      <c r="F18" s="65"/>
      <c r="G18" s="65"/>
      <c r="H18" s="66"/>
    </row>
    <row r="19" spans="2:8" ht="15" x14ac:dyDescent="0.2">
      <c r="B19" s="279" t="s">
        <v>163</v>
      </c>
      <c r="C19" s="280"/>
      <c r="D19" s="280"/>
      <c r="E19" s="280"/>
      <c r="F19" s="65"/>
      <c r="G19" s="65"/>
      <c r="H19" s="66"/>
    </row>
    <row r="20" spans="2:8" ht="14.25" x14ac:dyDescent="0.2">
      <c r="B20" s="282" t="s">
        <v>164</v>
      </c>
      <c r="C20" s="280"/>
      <c r="D20" s="280"/>
      <c r="E20" s="280"/>
      <c r="F20" s="65"/>
      <c r="G20" s="65"/>
      <c r="H20" s="66"/>
    </row>
    <row r="21" spans="2:8" ht="14.25" x14ac:dyDescent="0.2">
      <c r="B21" s="62"/>
      <c r="C21" s="67"/>
      <c r="D21" s="67"/>
      <c r="E21" s="67"/>
      <c r="F21" s="65"/>
      <c r="G21" s="65"/>
      <c r="H21" s="66"/>
    </row>
    <row r="22" spans="2:8" ht="14.25" x14ac:dyDescent="0.2">
      <c r="B22" s="62"/>
      <c r="C22" s="67"/>
      <c r="D22" s="67"/>
      <c r="E22" s="67"/>
      <c r="F22" s="65"/>
      <c r="G22" s="65"/>
      <c r="H22" s="66"/>
    </row>
    <row r="23" spans="2:8" ht="22.5" customHeight="1" x14ac:dyDescent="0.2">
      <c r="B23" s="282"/>
      <c r="C23" s="280"/>
      <c r="D23" s="280"/>
      <c r="E23" s="280"/>
      <c r="F23" s="67"/>
      <c r="G23" s="67"/>
      <c r="H23" s="67"/>
    </row>
    <row r="24" spans="2:8" ht="27.75" customHeight="1" x14ac:dyDescent="0.2">
      <c r="B24" s="280"/>
      <c r="C24" s="280"/>
      <c r="D24" s="280"/>
      <c r="E24" s="280"/>
      <c r="F24" s="280"/>
      <c r="G24" s="280"/>
      <c r="H24" s="280"/>
    </row>
    <row r="25" spans="2:8" ht="27.75" customHeight="1" x14ac:dyDescent="0.2">
      <c r="B25" s="67"/>
      <c r="C25" s="67"/>
      <c r="D25" s="67"/>
      <c r="E25" s="67"/>
      <c r="F25" s="67"/>
      <c r="G25" s="67"/>
      <c r="H25" s="67"/>
    </row>
    <row r="26" spans="2:8" ht="15.75" customHeight="1" x14ac:dyDescent="0.2">
      <c r="B26" s="67"/>
      <c r="C26" s="67"/>
      <c r="D26" s="67"/>
      <c r="E26" s="67"/>
      <c r="F26" s="67"/>
      <c r="G26" s="67"/>
      <c r="H26" s="67"/>
    </row>
    <row r="27" spans="2:8" ht="15" x14ac:dyDescent="0.25">
      <c r="B27" s="68" t="s">
        <v>88</v>
      </c>
      <c r="C27" s="272" t="s">
        <v>92</v>
      </c>
      <c r="D27" s="272"/>
      <c r="E27" s="69" t="s">
        <v>110</v>
      </c>
      <c r="F27" s="69" t="s">
        <v>94</v>
      </c>
      <c r="G27" s="70" t="s">
        <v>18</v>
      </c>
      <c r="H27" s="69" t="s">
        <v>121</v>
      </c>
    </row>
    <row r="28" spans="2:8" ht="25.5" customHeight="1" x14ac:dyDescent="0.2">
      <c r="B28" s="71">
        <v>45216</v>
      </c>
      <c r="C28" s="290" t="s">
        <v>130</v>
      </c>
      <c r="D28" s="280"/>
      <c r="E28" s="99">
        <v>39</v>
      </c>
      <c r="F28" s="108">
        <v>2</v>
      </c>
      <c r="G28" s="140">
        <v>0.1</v>
      </c>
      <c r="H28" s="99">
        <f>E28*F28</f>
        <v>78</v>
      </c>
    </row>
    <row r="29" spans="2:8" ht="30" customHeight="1" x14ac:dyDescent="0.2">
      <c r="B29" s="102"/>
      <c r="C29" s="286"/>
      <c r="D29" s="287"/>
      <c r="E29" s="77"/>
      <c r="F29" s="78"/>
      <c r="G29" s="141"/>
      <c r="H29" s="77"/>
    </row>
    <row r="30" spans="2:8" ht="30" customHeight="1" x14ac:dyDescent="0.2">
      <c r="B30" s="72"/>
      <c r="C30" s="290"/>
      <c r="D30" s="280"/>
      <c r="E30" s="63"/>
      <c r="F30" s="79" t="s">
        <v>97</v>
      </c>
      <c r="G30" s="79"/>
      <c r="H30" s="80">
        <f>SUM(H28:H29)</f>
        <v>78</v>
      </c>
    </row>
    <row r="31" spans="2:8" ht="30" customHeight="1" x14ac:dyDescent="0.2">
      <c r="B31" s="72"/>
      <c r="C31" s="72"/>
      <c r="D31" s="67"/>
      <c r="E31" s="63"/>
      <c r="F31" s="79" t="s">
        <v>98</v>
      </c>
      <c r="G31" s="79"/>
      <c r="H31" s="80">
        <f>H30*0.1</f>
        <v>7.8000000000000007</v>
      </c>
    </row>
    <row r="32" spans="2:8" ht="30" customHeight="1" x14ac:dyDescent="0.2">
      <c r="B32" s="72"/>
      <c r="C32" s="290"/>
      <c r="D32" s="280"/>
      <c r="E32" s="63"/>
      <c r="F32" s="81" t="s">
        <v>99</v>
      </c>
      <c r="G32" s="81"/>
      <c r="H32" s="82">
        <v>0</v>
      </c>
    </row>
    <row r="33" spans="1:12" ht="30" customHeight="1" x14ac:dyDescent="0.25">
      <c r="B33" s="83"/>
      <c r="C33" s="291"/>
      <c r="D33" s="278"/>
      <c r="E33" s="84"/>
      <c r="F33" s="85" t="s">
        <v>100</v>
      </c>
      <c r="G33" s="85"/>
      <c r="H33" s="86">
        <f>SUM(H30:H32)</f>
        <v>85.8</v>
      </c>
    </row>
    <row r="34" spans="1:12" ht="30" customHeight="1" x14ac:dyDescent="0.25">
      <c r="B34" s="83"/>
      <c r="C34" s="83"/>
      <c r="E34" s="84"/>
      <c r="F34" s="85"/>
      <c r="G34" s="85"/>
      <c r="H34" s="87"/>
    </row>
    <row r="35" spans="1:12" ht="30" customHeight="1" x14ac:dyDescent="0.25">
      <c r="B35" s="83"/>
      <c r="C35" s="83"/>
      <c r="E35" s="84"/>
      <c r="F35" s="85"/>
      <c r="G35" s="85"/>
      <c r="H35" s="86"/>
      <c r="L35" s="113"/>
    </row>
    <row r="36" spans="1:12" ht="30" customHeight="1" x14ac:dyDescent="0.25">
      <c r="B36" s="83"/>
      <c r="C36" s="83"/>
      <c r="E36" s="84"/>
      <c r="F36" s="85"/>
      <c r="G36" s="85"/>
      <c r="H36" s="86"/>
    </row>
    <row r="37" spans="1:12" ht="30" customHeight="1" x14ac:dyDescent="0.25">
      <c r="B37" s="83"/>
      <c r="C37" s="83"/>
      <c r="E37" s="84"/>
      <c r="F37" s="85"/>
      <c r="G37" s="85"/>
      <c r="H37" s="86"/>
    </row>
    <row r="38" spans="1:12" ht="30" customHeight="1" x14ac:dyDescent="0.25">
      <c r="B38" s="83"/>
      <c r="C38" s="83"/>
      <c r="E38" s="84"/>
      <c r="F38" s="85"/>
      <c r="G38" s="85"/>
      <c r="H38" s="86"/>
    </row>
    <row r="39" spans="1:12" ht="30" customHeight="1" x14ac:dyDescent="0.25">
      <c r="B39" s="83"/>
      <c r="C39" s="83"/>
      <c r="E39" s="84"/>
      <c r="F39" s="85"/>
      <c r="G39" s="85"/>
      <c r="H39" s="86"/>
    </row>
    <row r="40" spans="1:12" ht="30" customHeight="1" x14ac:dyDescent="0.25">
      <c r="B40" s="83"/>
      <c r="C40" s="83"/>
      <c r="E40" s="84"/>
      <c r="F40" s="85"/>
      <c r="G40" s="85"/>
      <c r="H40" s="86"/>
    </row>
    <row r="41" spans="1:12" ht="30" customHeight="1" x14ac:dyDescent="0.2">
      <c r="B41" s="83"/>
      <c r="C41" s="88"/>
      <c r="D41" s="292" t="s">
        <v>101</v>
      </c>
      <c r="E41" s="292"/>
      <c r="F41" s="292"/>
      <c r="G41" s="89"/>
      <c r="H41" s="90"/>
    </row>
    <row r="42" spans="1:12" ht="12.75" customHeight="1" x14ac:dyDescent="0.2"/>
    <row r="43" spans="1:12" ht="12.75" x14ac:dyDescent="0.2">
      <c r="A43" s="53"/>
      <c r="B43" s="91" t="s">
        <v>102</v>
      </c>
      <c r="C43" s="92"/>
      <c r="D43" s="92"/>
      <c r="E43" s="300" t="s">
        <v>103</v>
      </c>
      <c r="F43" s="300"/>
      <c r="G43" s="300"/>
      <c r="H43" s="300"/>
      <c r="I43" s="106"/>
    </row>
    <row r="44" spans="1:12" ht="14.25" customHeight="1" x14ac:dyDescent="0.2">
      <c r="A44" s="53"/>
      <c r="B44" s="94" t="s">
        <v>104</v>
      </c>
      <c r="C44" s="53"/>
      <c r="D44" s="53"/>
      <c r="E44" s="283">
        <f>H33</f>
        <v>85.8</v>
      </c>
      <c r="F44" s="283"/>
      <c r="G44" s="283"/>
      <c r="H44" s="283"/>
      <c r="I44" s="106"/>
    </row>
    <row r="45" spans="1:12" ht="14.25" x14ac:dyDescent="0.2">
      <c r="A45" s="53"/>
      <c r="B45" s="94" t="s">
        <v>105</v>
      </c>
      <c r="C45" s="53"/>
      <c r="D45" s="53"/>
      <c r="E45" s="283"/>
      <c r="F45" s="283"/>
      <c r="G45" s="283"/>
      <c r="H45" s="283"/>
      <c r="I45" s="106"/>
    </row>
    <row r="46" spans="1:12" ht="14.25" x14ac:dyDescent="0.2">
      <c r="A46" s="53"/>
      <c r="B46" s="94" t="s">
        <v>106</v>
      </c>
      <c r="C46" s="53"/>
      <c r="D46" s="53"/>
      <c r="E46" s="95"/>
      <c r="F46" s="95"/>
      <c r="G46" s="95"/>
      <c r="H46" s="95"/>
      <c r="I46" s="95"/>
    </row>
    <row r="47" spans="1:12" ht="14.25" x14ac:dyDescent="0.2">
      <c r="A47" s="53"/>
      <c r="B47" s="94" t="s">
        <v>107</v>
      </c>
      <c r="C47" s="96"/>
      <c r="D47" s="96"/>
      <c r="E47" s="97"/>
      <c r="F47" s="97"/>
      <c r="G47" s="97"/>
      <c r="H47" s="97"/>
      <c r="I47" s="95"/>
    </row>
    <row r="48" spans="1:12" ht="53.25" customHeight="1" x14ac:dyDescent="0.2">
      <c r="B48" s="284"/>
      <c r="C48" s="278"/>
      <c r="D48" s="278"/>
      <c r="E48" s="278"/>
      <c r="F48" s="278"/>
      <c r="G48" s="278"/>
      <c r="H48" s="278"/>
    </row>
    <row r="52" spans="6:7" ht="15.75" customHeight="1" x14ac:dyDescent="0.2">
      <c r="F52" s="62"/>
      <c r="G52" s="62"/>
    </row>
    <row r="53" spans="6:7" ht="15.75" customHeight="1" x14ac:dyDescent="0.2">
      <c r="F53" s="62"/>
      <c r="G53" s="62"/>
    </row>
    <row r="54" spans="6:7" ht="15.75" customHeight="1" x14ac:dyDescent="0.2">
      <c r="F54" s="62"/>
      <c r="G54" s="62"/>
    </row>
    <row r="57" spans="6:7" ht="15.75" customHeight="1" x14ac:dyDescent="0.2">
      <c r="F57" s="62"/>
      <c r="G57" s="62"/>
    </row>
    <row r="59" spans="6:7" ht="15.75" customHeight="1" x14ac:dyDescent="0.2">
      <c r="F59" s="62"/>
      <c r="G59" s="62"/>
    </row>
  </sheetData>
  <mergeCells count="21">
    <mergeCell ref="E43:H43"/>
    <mergeCell ref="E44:H45"/>
    <mergeCell ref="B48:H48"/>
    <mergeCell ref="C28:D28"/>
    <mergeCell ref="C29:D29"/>
    <mergeCell ref="C30:D30"/>
    <mergeCell ref="C32:D32"/>
    <mergeCell ref="C33:D33"/>
    <mergeCell ref="D41:F41"/>
    <mergeCell ref="C27:D27"/>
    <mergeCell ref="E3:H3"/>
    <mergeCell ref="B4:D6"/>
    <mergeCell ref="E4:H4"/>
    <mergeCell ref="E5:H5"/>
    <mergeCell ref="E6:H6"/>
    <mergeCell ref="B9:H9"/>
    <mergeCell ref="B18:E18"/>
    <mergeCell ref="B19:E19"/>
    <mergeCell ref="B20:E20"/>
    <mergeCell ref="B23:E23"/>
    <mergeCell ref="B24:H24"/>
  </mergeCells>
  <conditionalFormatting sqref="B26">
    <cfRule type="notContainsBlanks" dxfId="41" priority="1">
      <formula>LEN(TRIM(B26))&gt;0</formula>
    </cfRule>
  </conditionalFormatting>
  <hyperlinks>
    <hyperlink ref="B12" r:id="rId1" xr:uid="{4B4F4BC4-997A-4197-9CA7-CDFDF390B78A}"/>
  </hyperlinks>
  <pageMargins left="0.13" right="0.09" top="0.36" bottom="0.16" header="0.3" footer="0.18"/>
  <pageSetup paperSize="9" scale="82" orientation="portrait" r:id="rId2"/>
  <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59C801-774F-42C5-92CE-2E60A0F92CBE}">
  <sheetPr codeName="Sheet19">
    <tabColor theme="4" tint="-0.249977111117893"/>
    <outlinePr summaryBelow="0" summaryRight="0"/>
    <pageSetUpPr fitToPage="1"/>
  </sheetPr>
  <dimension ref="A1:J59"/>
  <sheetViews>
    <sheetView showGridLines="0" topLeftCell="A6" zoomScale="130" zoomScaleNormal="130" workbookViewId="0">
      <selection activeCell="H11" sqref="H11"/>
    </sheetView>
  </sheetViews>
  <sheetFormatPr defaultColWidth="14.42578125" defaultRowHeight="15.75" customHeight="1" x14ac:dyDescent="0.2"/>
  <cols>
    <col min="1" max="1" width="3.42578125" style="55" customWidth="1"/>
    <col min="2" max="3" width="14.42578125" style="55"/>
    <col min="4" max="4" width="26.7109375" style="55" customWidth="1"/>
    <col min="5" max="5" width="18.140625" style="55" bestFit="1" customWidth="1"/>
    <col min="6" max="6" width="16.42578125" style="55" customWidth="1"/>
    <col min="7" max="7" width="12.7109375" style="55" customWidth="1"/>
    <col min="8" max="8" width="17.42578125" style="55" customWidth="1"/>
    <col min="9" max="9" width="3.42578125" style="55" customWidth="1"/>
    <col min="10" max="16384" width="14.42578125" style="55"/>
  </cols>
  <sheetData>
    <row r="1" spans="1:10" ht="39" customHeight="1" x14ac:dyDescent="0.2">
      <c r="A1" s="53"/>
      <c r="B1" s="54"/>
      <c r="C1" s="54"/>
      <c r="D1" s="54"/>
      <c r="E1" s="54"/>
      <c r="F1" s="54"/>
      <c r="G1" s="54"/>
      <c r="H1" s="54"/>
      <c r="I1" s="54"/>
    </row>
    <row r="2" spans="1:10" x14ac:dyDescent="0.25">
      <c r="A2" s="53"/>
      <c r="B2" s="56"/>
      <c r="C2" s="56"/>
      <c r="D2" s="56"/>
      <c r="E2" s="57"/>
      <c r="F2" s="57"/>
      <c r="G2" s="57"/>
      <c r="H2" s="57"/>
      <c r="I2" s="56"/>
    </row>
    <row r="3" spans="1:10" ht="12.75" x14ac:dyDescent="0.2">
      <c r="A3" s="53"/>
      <c r="B3" s="56"/>
      <c r="C3" s="56"/>
      <c r="D3" s="56"/>
      <c r="E3" s="273"/>
      <c r="F3" s="274"/>
      <c r="G3" s="274"/>
      <c r="H3" s="274"/>
      <c r="I3" s="56"/>
    </row>
    <row r="4" spans="1:10" ht="12.75" x14ac:dyDescent="0.2">
      <c r="A4" s="53"/>
      <c r="B4" s="275" t="s">
        <v>83</v>
      </c>
      <c r="C4" s="276"/>
      <c r="D4" s="276"/>
      <c r="E4" s="277"/>
      <c r="F4" s="274"/>
      <c r="G4" s="274"/>
      <c r="H4" s="274"/>
      <c r="I4" s="56"/>
    </row>
    <row r="5" spans="1:10" ht="12.75" x14ac:dyDescent="0.2">
      <c r="A5" s="53"/>
      <c r="B5" s="276"/>
      <c r="C5" s="276"/>
      <c r="D5" s="276"/>
      <c r="E5" s="277"/>
      <c r="F5" s="274"/>
      <c r="G5" s="274"/>
      <c r="H5" s="274"/>
      <c r="I5" s="56"/>
    </row>
    <row r="6" spans="1:10" ht="12.75" x14ac:dyDescent="0.2">
      <c r="A6" s="53"/>
      <c r="B6" s="276"/>
      <c r="C6" s="276"/>
      <c r="D6" s="276"/>
      <c r="E6" s="277"/>
      <c r="F6" s="274"/>
      <c r="G6" s="274"/>
      <c r="H6" s="274"/>
      <c r="I6" s="56"/>
    </row>
    <row r="7" spans="1:10" ht="36.75" customHeight="1" x14ac:dyDescent="0.2">
      <c r="A7" s="53"/>
      <c r="B7" s="54"/>
      <c r="C7" s="54"/>
      <c r="D7" s="54"/>
      <c r="E7" s="54"/>
      <c r="F7" s="54"/>
      <c r="G7" s="54"/>
      <c r="H7" s="54"/>
      <c r="I7" s="54"/>
    </row>
    <row r="8" spans="1:10" ht="21.75" customHeight="1" x14ac:dyDescent="0.2">
      <c r="B8" s="58"/>
      <c r="C8" s="58"/>
      <c r="D8" s="58"/>
      <c r="E8" s="58"/>
      <c r="F8" s="58"/>
      <c r="G8" s="58"/>
      <c r="H8" s="58"/>
      <c r="I8" s="58"/>
      <c r="J8" s="59"/>
    </row>
    <row r="9" spans="1:10" ht="15.75" customHeight="1" x14ac:dyDescent="0.2">
      <c r="B9" s="278"/>
      <c r="C9" s="278"/>
      <c r="D9" s="278"/>
      <c r="E9" s="278"/>
      <c r="F9" s="278"/>
      <c r="G9" s="278"/>
      <c r="H9" s="278"/>
    </row>
    <row r="10" spans="1:10" ht="15" customHeight="1" x14ac:dyDescent="0.2">
      <c r="B10" s="60" t="s">
        <v>84</v>
      </c>
      <c r="G10" s="60"/>
      <c r="H10" s="61" t="s">
        <v>85</v>
      </c>
    </row>
    <row r="11" spans="1:10" ht="14.25" x14ac:dyDescent="0.2">
      <c r="B11" s="62" t="s">
        <v>86</v>
      </c>
      <c r="G11" s="62"/>
      <c r="H11" s="63" t="str">
        <f>"KE"&amp;J11</f>
        <v>KE1034</v>
      </c>
      <c r="J11" s="55">
        <v>1034</v>
      </c>
    </row>
    <row r="12" spans="1:10" ht="15" x14ac:dyDescent="0.2">
      <c r="B12" s="62" t="s">
        <v>87</v>
      </c>
      <c r="G12" s="60"/>
      <c r="H12" s="61" t="s">
        <v>88</v>
      </c>
      <c r="J12" s="55">
        <v>7</v>
      </c>
    </row>
    <row r="13" spans="1:10" ht="14.25" x14ac:dyDescent="0.2">
      <c r="B13" s="62"/>
      <c r="G13" s="64"/>
      <c r="H13" s="65">
        <v>44945</v>
      </c>
    </row>
    <row r="14" spans="1:10" ht="15" x14ac:dyDescent="0.2">
      <c r="G14" s="60"/>
      <c r="H14" s="61" t="s">
        <v>89</v>
      </c>
    </row>
    <row r="15" spans="1:10" ht="14.25" x14ac:dyDescent="0.2">
      <c r="G15" s="64"/>
      <c r="H15" s="65">
        <f>H13+J12</f>
        <v>44952</v>
      </c>
    </row>
    <row r="16" spans="1:10" ht="14.25" x14ac:dyDescent="0.2">
      <c r="B16" s="62"/>
      <c r="F16" s="65"/>
      <c r="G16" s="65"/>
      <c r="H16" s="65"/>
    </row>
    <row r="17" spans="2:10" ht="14.25" x14ac:dyDescent="0.2">
      <c r="F17" s="65"/>
      <c r="G17" s="65"/>
      <c r="H17" s="66"/>
    </row>
    <row r="18" spans="2:10" ht="22.5" customHeight="1" x14ac:dyDescent="0.2">
      <c r="B18" s="279" t="s">
        <v>90</v>
      </c>
      <c r="C18" s="280"/>
      <c r="D18" s="280"/>
      <c r="E18" s="280"/>
      <c r="F18" s="65"/>
      <c r="G18" s="65"/>
      <c r="H18" s="66"/>
      <c r="J18" s="139"/>
    </row>
    <row r="19" spans="2:10" ht="15" x14ac:dyDescent="0.2">
      <c r="B19" s="279" t="s">
        <v>165</v>
      </c>
      <c r="C19" s="280"/>
      <c r="D19" s="280"/>
      <c r="E19" s="280"/>
      <c r="F19" s="65"/>
      <c r="G19" s="65"/>
      <c r="H19" s="66"/>
      <c r="J19" s="139"/>
    </row>
    <row r="20" spans="2:10" ht="14.25" x14ac:dyDescent="0.2">
      <c r="B20" s="282" t="s">
        <v>166</v>
      </c>
      <c r="C20" s="280"/>
      <c r="D20" s="280"/>
      <c r="E20" s="280"/>
      <c r="F20" s="65"/>
      <c r="G20" s="65"/>
      <c r="H20" s="66"/>
    </row>
    <row r="21" spans="2:10" ht="14.25" x14ac:dyDescent="0.2">
      <c r="B21" s="62"/>
      <c r="C21" s="67"/>
      <c r="D21" s="67"/>
      <c r="E21" s="67"/>
      <c r="F21" s="65"/>
      <c r="G21" s="65"/>
      <c r="H21" s="66"/>
    </row>
    <row r="22" spans="2:10" ht="14.25" x14ac:dyDescent="0.2">
      <c r="B22" s="62"/>
      <c r="C22" s="67"/>
      <c r="D22" s="67"/>
      <c r="E22" s="67"/>
      <c r="F22" s="65"/>
      <c r="G22" s="65"/>
      <c r="H22" s="66"/>
    </row>
    <row r="23" spans="2:10" ht="22.5" customHeight="1" x14ac:dyDescent="0.2">
      <c r="B23" s="282"/>
      <c r="C23" s="280"/>
      <c r="D23" s="280"/>
      <c r="E23" s="280"/>
      <c r="F23" s="67"/>
      <c r="G23" s="67"/>
      <c r="H23" s="67"/>
    </row>
    <row r="24" spans="2:10" ht="27.75" customHeight="1" x14ac:dyDescent="0.2">
      <c r="B24" s="280"/>
      <c r="C24" s="280"/>
      <c r="D24" s="280"/>
      <c r="E24" s="280"/>
      <c r="F24" s="280"/>
      <c r="G24" s="280"/>
      <c r="H24" s="280"/>
    </row>
    <row r="25" spans="2:10" ht="27.75" customHeight="1" x14ac:dyDescent="0.2">
      <c r="B25" s="67"/>
      <c r="C25" s="67"/>
      <c r="D25" s="67"/>
      <c r="E25" s="67"/>
      <c r="F25" s="67"/>
      <c r="G25" s="67"/>
      <c r="H25" s="67"/>
    </row>
    <row r="26" spans="2:10" ht="15.75" customHeight="1" x14ac:dyDescent="0.2">
      <c r="B26" s="67"/>
      <c r="C26" s="67"/>
      <c r="D26" s="67"/>
      <c r="E26" s="67"/>
      <c r="F26" s="67"/>
      <c r="G26" s="67"/>
      <c r="H26" s="67"/>
    </row>
    <row r="27" spans="2:10" ht="15" x14ac:dyDescent="0.25">
      <c r="B27" s="68" t="s">
        <v>88</v>
      </c>
      <c r="C27" s="272" t="s">
        <v>92</v>
      </c>
      <c r="D27" s="272"/>
      <c r="E27" s="70" t="s">
        <v>93</v>
      </c>
      <c r="F27" s="70" t="s">
        <v>94</v>
      </c>
      <c r="G27" s="70" t="s">
        <v>18</v>
      </c>
      <c r="H27" s="69" t="s">
        <v>167</v>
      </c>
    </row>
    <row r="28" spans="2:10" ht="25.5" customHeight="1" x14ac:dyDescent="0.2">
      <c r="B28" s="71">
        <v>44943</v>
      </c>
      <c r="C28" s="290" t="s">
        <v>168</v>
      </c>
      <c r="D28" s="280"/>
      <c r="E28" s="99">
        <v>39</v>
      </c>
      <c r="F28" s="100">
        <v>2</v>
      </c>
      <c r="G28" s="140">
        <v>0.1</v>
      </c>
      <c r="H28" s="73">
        <f>E28*F28</f>
        <v>78</v>
      </c>
    </row>
    <row r="29" spans="2:10" ht="30" customHeight="1" x14ac:dyDescent="0.2">
      <c r="B29" s="76"/>
      <c r="C29" s="286"/>
      <c r="D29" s="287"/>
      <c r="E29" s="77"/>
      <c r="F29" s="78"/>
      <c r="G29" s="78"/>
      <c r="H29" s="77"/>
    </row>
    <row r="30" spans="2:10" ht="30" customHeight="1" x14ac:dyDescent="0.2">
      <c r="B30" s="72"/>
      <c r="C30" s="290"/>
      <c r="D30" s="280"/>
      <c r="E30" s="63"/>
      <c r="F30" s="79" t="s">
        <v>97</v>
      </c>
      <c r="G30" s="79"/>
      <c r="H30" s="80">
        <f>SUM(H28:H29)</f>
        <v>78</v>
      </c>
    </row>
    <row r="31" spans="2:10" ht="30" customHeight="1" x14ac:dyDescent="0.2">
      <c r="B31" s="72"/>
      <c r="C31" s="72"/>
      <c r="D31" s="67"/>
      <c r="E31" s="63"/>
      <c r="F31" s="79" t="s">
        <v>98</v>
      </c>
      <c r="G31" s="79"/>
      <c r="H31" s="80">
        <f>H30*0.1</f>
        <v>7.8000000000000007</v>
      </c>
    </row>
    <row r="32" spans="2:10" ht="30" customHeight="1" x14ac:dyDescent="0.2">
      <c r="B32" s="72"/>
      <c r="C32" s="290"/>
      <c r="D32" s="280"/>
      <c r="E32" s="63"/>
      <c r="F32" s="81" t="s">
        <v>99</v>
      </c>
      <c r="G32" s="81"/>
      <c r="H32" s="82">
        <v>0</v>
      </c>
    </row>
    <row r="33" spans="1:10" ht="30" customHeight="1" x14ac:dyDescent="0.25">
      <c r="B33" s="83"/>
      <c r="C33" s="291"/>
      <c r="D33" s="278"/>
      <c r="E33" s="84"/>
      <c r="F33" s="85" t="s">
        <v>100</v>
      </c>
      <c r="G33" s="85"/>
      <c r="H33" s="86">
        <f>SUM(H30:H32)</f>
        <v>85.8</v>
      </c>
    </row>
    <row r="34" spans="1:10" ht="30" customHeight="1" x14ac:dyDescent="0.25">
      <c r="B34" s="83"/>
      <c r="C34" s="83"/>
      <c r="E34" s="84"/>
      <c r="F34" s="85"/>
      <c r="G34" s="85"/>
      <c r="H34" s="87"/>
    </row>
    <row r="35" spans="1:10" ht="30" customHeight="1" x14ac:dyDescent="0.25">
      <c r="B35" s="83"/>
      <c r="C35" s="83"/>
      <c r="E35" s="84"/>
      <c r="F35" s="85"/>
      <c r="G35" s="85"/>
      <c r="H35" s="86"/>
    </row>
    <row r="36" spans="1:10" ht="30" customHeight="1" x14ac:dyDescent="0.25">
      <c r="B36" s="83"/>
      <c r="C36" s="83"/>
      <c r="E36" s="84"/>
      <c r="F36" s="85"/>
      <c r="G36" s="85"/>
      <c r="H36" s="86"/>
    </row>
    <row r="37" spans="1:10" ht="30" customHeight="1" x14ac:dyDescent="0.25">
      <c r="B37" s="83"/>
      <c r="C37" s="83"/>
      <c r="E37" s="84"/>
      <c r="F37" s="85"/>
      <c r="G37" s="85"/>
      <c r="H37" s="86"/>
      <c r="J37" s="142"/>
    </row>
    <row r="38" spans="1:10" ht="30" customHeight="1" x14ac:dyDescent="0.25">
      <c r="B38" s="83"/>
      <c r="C38" s="83"/>
      <c r="E38" s="84"/>
      <c r="F38" s="85"/>
      <c r="G38" s="85"/>
      <c r="H38" s="86"/>
      <c r="J38" s="143"/>
    </row>
    <row r="39" spans="1:10" ht="30" customHeight="1" x14ac:dyDescent="0.25">
      <c r="B39" s="83"/>
      <c r="C39" s="83"/>
      <c r="E39" s="84"/>
      <c r="F39" s="85"/>
      <c r="G39" s="85"/>
      <c r="H39" s="86"/>
    </row>
    <row r="40" spans="1:10" ht="30" customHeight="1" x14ac:dyDescent="0.25">
      <c r="B40" s="83"/>
      <c r="C40" s="83"/>
      <c r="E40" s="84"/>
      <c r="F40" s="85"/>
      <c r="G40" s="85"/>
      <c r="H40" s="86"/>
      <c r="J40" s="142"/>
    </row>
    <row r="41" spans="1:10" ht="30" customHeight="1" x14ac:dyDescent="0.2">
      <c r="B41" s="83"/>
      <c r="C41" s="88"/>
      <c r="D41" s="292" t="s">
        <v>101</v>
      </c>
      <c r="E41" s="292"/>
      <c r="F41" s="292"/>
      <c r="G41" s="89"/>
      <c r="H41" s="90"/>
    </row>
    <row r="42" spans="1:10" ht="12.75" customHeight="1" x14ac:dyDescent="0.2"/>
    <row r="43" spans="1:10" ht="12.75" x14ac:dyDescent="0.2">
      <c r="A43" s="53"/>
      <c r="B43" s="91" t="s">
        <v>102</v>
      </c>
      <c r="C43" s="92"/>
      <c r="D43" s="92"/>
      <c r="E43" s="300" t="s">
        <v>103</v>
      </c>
      <c r="F43" s="300"/>
      <c r="G43" s="300"/>
      <c r="H43" s="300"/>
      <c r="I43" s="300"/>
    </row>
    <row r="44" spans="1:10" ht="14.25" customHeight="1" x14ac:dyDescent="0.2">
      <c r="A44" s="53"/>
      <c r="B44" s="94" t="s">
        <v>104</v>
      </c>
      <c r="C44" s="53"/>
      <c r="D44" s="53"/>
      <c r="E44" s="283">
        <f>H33</f>
        <v>85.8</v>
      </c>
      <c r="F44" s="283"/>
      <c r="G44" s="283"/>
      <c r="H44" s="283"/>
      <c r="I44" s="283"/>
    </row>
    <row r="45" spans="1:10" ht="15.75" customHeight="1" x14ac:dyDescent="0.2">
      <c r="A45" s="53"/>
      <c r="B45" s="94" t="s">
        <v>105</v>
      </c>
      <c r="C45" s="53"/>
      <c r="D45" s="53"/>
      <c r="E45" s="283"/>
      <c r="F45" s="283"/>
      <c r="G45" s="283"/>
      <c r="H45" s="283"/>
      <c r="I45" s="283"/>
    </row>
    <row r="46" spans="1:10" ht="14.25" x14ac:dyDescent="0.2">
      <c r="A46" s="53"/>
      <c r="B46" s="94" t="s">
        <v>106</v>
      </c>
      <c r="C46" s="53"/>
      <c r="D46" s="53"/>
      <c r="E46" s="95"/>
      <c r="F46" s="95"/>
      <c r="G46" s="95"/>
      <c r="H46" s="95"/>
      <c r="I46" s="95"/>
    </row>
    <row r="47" spans="1:10" ht="14.25" x14ac:dyDescent="0.2">
      <c r="A47" s="53"/>
      <c r="B47" s="94" t="s">
        <v>107</v>
      </c>
      <c r="C47" s="96"/>
      <c r="D47" s="96"/>
      <c r="E47" s="97"/>
      <c r="F47" s="97"/>
      <c r="G47" s="97"/>
      <c r="H47" s="97"/>
      <c r="I47" s="95"/>
    </row>
    <row r="48" spans="1:10" ht="53.25" customHeight="1" x14ac:dyDescent="0.2">
      <c r="B48" s="284"/>
      <c r="C48" s="278"/>
      <c r="D48" s="278"/>
      <c r="E48" s="278"/>
      <c r="F48" s="278"/>
      <c r="G48" s="278"/>
      <c r="H48" s="278"/>
    </row>
    <row r="52" spans="6:7" ht="15.75" customHeight="1" x14ac:dyDescent="0.2">
      <c r="F52" s="62"/>
      <c r="G52" s="62"/>
    </row>
    <row r="53" spans="6:7" ht="15.75" customHeight="1" x14ac:dyDescent="0.2">
      <c r="F53" s="62"/>
      <c r="G53" s="62"/>
    </row>
    <row r="54" spans="6:7" ht="15.75" customHeight="1" x14ac:dyDescent="0.2">
      <c r="F54" s="62"/>
      <c r="G54" s="62"/>
    </row>
    <row r="57" spans="6:7" ht="15.75" customHeight="1" x14ac:dyDescent="0.2">
      <c r="F57" s="62"/>
      <c r="G57" s="62"/>
    </row>
    <row r="59" spans="6:7" ht="15.75" customHeight="1" x14ac:dyDescent="0.2">
      <c r="F59" s="62"/>
      <c r="G59" s="62"/>
    </row>
  </sheetData>
  <mergeCells count="21">
    <mergeCell ref="E43:I43"/>
    <mergeCell ref="E44:I45"/>
    <mergeCell ref="B48:H48"/>
    <mergeCell ref="C28:D28"/>
    <mergeCell ref="C29:D29"/>
    <mergeCell ref="C30:D30"/>
    <mergeCell ref="C32:D32"/>
    <mergeCell ref="C33:D33"/>
    <mergeCell ref="D41:F41"/>
    <mergeCell ref="C27:D27"/>
    <mergeCell ref="E3:H3"/>
    <mergeCell ref="B4:D6"/>
    <mergeCell ref="E4:H4"/>
    <mergeCell ref="E5:H5"/>
    <mergeCell ref="E6:H6"/>
    <mergeCell ref="B9:H9"/>
    <mergeCell ref="B18:E18"/>
    <mergeCell ref="B19:E19"/>
    <mergeCell ref="B20:E20"/>
    <mergeCell ref="B23:E23"/>
    <mergeCell ref="B24:H24"/>
  </mergeCells>
  <conditionalFormatting sqref="B26">
    <cfRule type="notContainsBlanks" dxfId="40" priority="1">
      <formula>LEN(TRIM(B26))&gt;0</formula>
    </cfRule>
  </conditionalFormatting>
  <hyperlinks>
    <hyperlink ref="B12" r:id="rId1" xr:uid="{E5E40E8A-6F93-4136-A911-A1D9D06D178C}"/>
  </hyperlinks>
  <printOptions horizontalCentered="1" verticalCentered="1"/>
  <pageMargins left="3.937007874015748E-2" right="3.937007874015748E-2" top="0.35433070866141736" bottom="0.27559055118110237" header="0.31496062992125984" footer="0.31496062992125984"/>
  <pageSetup paperSize="9" scale="82" orientation="portrait" r:id="rId2"/>
  <drawing r:id="rId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DC0BC8-B1B8-4B6C-AD80-43339F550786}">
  <sheetPr codeName="Sheet20">
    <tabColor theme="4" tint="-0.249977111117893"/>
    <outlinePr summaryBelow="0" summaryRight="0"/>
    <pageSetUpPr fitToPage="1"/>
  </sheetPr>
  <dimension ref="A1:N59"/>
  <sheetViews>
    <sheetView showGridLines="0" topLeftCell="A7" zoomScale="110" zoomScaleNormal="110" workbookViewId="0">
      <selection activeCell="H11" sqref="H11"/>
    </sheetView>
  </sheetViews>
  <sheetFormatPr defaultColWidth="14.42578125" defaultRowHeight="15.75" customHeight="1" x14ac:dyDescent="0.2"/>
  <cols>
    <col min="1" max="1" width="2.85546875" style="55" customWidth="1"/>
    <col min="2" max="3" width="14.42578125" style="55"/>
    <col min="4" max="4" width="31" style="55" customWidth="1"/>
    <col min="5" max="5" width="18.140625" style="55" bestFit="1" customWidth="1"/>
    <col min="6" max="6" width="16.42578125" style="55" customWidth="1"/>
    <col min="7" max="7" width="10.7109375" style="55" customWidth="1"/>
    <col min="8" max="8" width="13.7109375" style="55" bestFit="1" customWidth="1"/>
    <col min="9" max="9" width="2.42578125" style="55" customWidth="1"/>
    <col min="10" max="16384" width="14.42578125" style="55"/>
  </cols>
  <sheetData>
    <row r="1" spans="1:10" ht="39" customHeight="1" x14ac:dyDescent="0.2">
      <c r="A1" s="54"/>
      <c r="B1" s="54"/>
      <c r="C1" s="54"/>
      <c r="D1" s="54"/>
      <c r="E1" s="54"/>
      <c r="F1" s="54"/>
      <c r="G1" s="54"/>
      <c r="H1" s="54"/>
      <c r="I1" s="54"/>
    </row>
    <row r="2" spans="1:10" x14ac:dyDescent="0.25">
      <c r="A2" s="54"/>
      <c r="B2" s="56"/>
      <c r="C2" s="56"/>
      <c r="D2" s="56"/>
      <c r="E2" s="57"/>
      <c r="F2" s="57"/>
      <c r="G2" s="57"/>
      <c r="H2" s="57"/>
      <c r="I2" s="56"/>
    </row>
    <row r="3" spans="1:10" ht="12.75" x14ac:dyDescent="0.2">
      <c r="A3" s="54"/>
      <c r="B3" s="56"/>
      <c r="C3" s="56"/>
      <c r="D3" s="56"/>
      <c r="E3" s="273"/>
      <c r="F3" s="274"/>
      <c r="G3" s="274"/>
      <c r="H3" s="274"/>
      <c r="I3" s="56"/>
    </row>
    <row r="4" spans="1:10" ht="12.75" x14ac:dyDescent="0.2">
      <c r="A4" s="54"/>
      <c r="B4" s="275" t="s">
        <v>83</v>
      </c>
      <c r="C4" s="276"/>
      <c r="D4" s="276"/>
      <c r="E4" s="277"/>
      <c r="F4" s="274"/>
      <c r="G4" s="274"/>
      <c r="H4" s="274"/>
      <c r="I4" s="56"/>
    </row>
    <row r="5" spans="1:10" ht="12.75" x14ac:dyDescent="0.2">
      <c r="A5" s="54"/>
      <c r="B5" s="276"/>
      <c r="C5" s="276"/>
      <c r="D5" s="276"/>
      <c r="E5" s="277"/>
      <c r="F5" s="274"/>
      <c r="G5" s="274"/>
      <c r="H5" s="274"/>
      <c r="I5" s="56"/>
    </row>
    <row r="6" spans="1:10" ht="12.75" x14ac:dyDescent="0.2">
      <c r="A6" s="54"/>
      <c r="B6" s="276"/>
      <c r="C6" s="276"/>
      <c r="D6" s="276"/>
      <c r="E6" s="277"/>
      <c r="F6" s="274"/>
      <c r="G6" s="274"/>
      <c r="H6" s="274"/>
      <c r="I6" s="56"/>
    </row>
    <row r="7" spans="1:10" ht="36.75" customHeight="1" x14ac:dyDescent="0.2">
      <c r="A7" s="54"/>
      <c r="B7" s="54"/>
      <c r="C7" s="54"/>
      <c r="D7" s="54"/>
      <c r="E7" s="54"/>
      <c r="F7" s="54"/>
      <c r="G7" s="54"/>
      <c r="H7" s="54"/>
      <c r="I7" s="54"/>
      <c r="J7" s="144" t="s">
        <v>169</v>
      </c>
    </row>
    <row r="8" spans="1:10" ht="21.75" customHeight="1" x14ac:dyDescent="0.2">
      <c r="A8" s="58"/>
      <c r="B8" s="58"/>
      <c r="C8" s="58"/>
      <c r="D8" s="58"/>
      <c r="E8" s="58"/>
      <c r="F8" s="58"/>
      <c r="G8" s="58"/>
      <c r="H8" s="58"/>
      <c r="I8" s="58"/>
      <c r="J8" s="59"/>
    </row>
    <row r="9" spans="1:10" ht="15.75" customHeight="1" x14ac:dyDescent="0.2">
      <c r="B9" s="278"/>
      <c r="C9" s="278"/>
      <c r="D9" s="278"/>
      <c r="E9" s="278"/>
      <c r="F9" s="278"/>
      <c r="G9" s="278"/>
      <c r="H9" s="278"/>
    </row>
    <row r="10" spans="1:10" ht="15" customHeight="1" x14ac:dyDescent="0.2">
      <c r="A10" s="98"/>
      <c r="B10" s="60" t="s">
        <v>84</v>
      </c>
      <c r="G10" s="60"/>
      <c r="H10" s="61" t="s">
        <v>85</v>
      </c>
    </row>
    <row r="11" spans="1:10" ht="14.25" x14ac:dyDescent="0.2">
      <c r="A11" s="98"/>
      <c r="B11" s="62" t="s">
        <v>86</v>
      </c>
      <c r="G11" s="62"/>
      <c r="H11" s="63" t="str">
        <f>"KR"&amp;J11</f>
        <v>KR21</v>
      </c>
      <c r="J11" s="55">
        <v>21</v>
      </c>
    </row>
    <row r="12" spans="1:10" ht="15" x14ac:dyDescent="0.2">
      <c r="A12" s="98"/>
      <c r="B12" s="62" t="s">
        <v>87</v>
      </c>
      <c r="G12" s="60"/>
      <c r="H12" s="61" t="s">
        <v>88</v>
      </c>
      <c r="J12" s="55">
        <v>7</v>
      </c>
    </row>
    <row r="13" spans="1:10" ht="14.25" x14ac:dyDescent="0.2">
      <c r="A13" s="98"/>
      <c r="B13" s="62"/>
      <c r="G13" s="64"/>
      <c r="H13" s="65">
        <v>44945</v>
      </c>
    </row>
    <row r="14" spans="1:10" ht="15" x14ac:dyDescent="0.2">
      <c r="A14" s="98"/>
      <c r="G14" s="60"/>
      <c r="H14" s="61" t="s">
        <v>89</v>
      </c>
    </row>
    <row r="15" spans="1:10" ht="14.25" x14ac:dyDescent="0.2">
      <c r="A15" s="98"/>
      <c r="G15" s="64"/>
      <c r="H15" s="65">
        <f>H13+J12</f>
        <v>44952</v>
      </c>
    </row>
    <row r="16" spans="1:10" ht="14.25" x14ac:dyDescent="0.2">
      <c r="A16" s="98"/>
      <c r="B16" s="62"/>
      <c r="F16" s="65"/>
      <c r="G16" s="65"/>
      <c r="H16" s="65"/>
    </row>
    <row r="17" spans="1:14" ht="14.25" x14ac:dyDescent="0.2">
      <c r="A17" s="98"/>
      <c r="F17" s="65"/>
      <c r="G17" s="65"/>
      <c r="H17" s="66"/>
    </row>
    <row r="18" spans="1:14" ht="22.5" customHeight="1" x14ac:dyDescent="0.2">
      <c r="A18" s="98"/>
      <c r="B18" s="279" t="s">
        <v>90</v>
      </c>
      <c r="C18" s="280"/>
      <c r="D18" s="280"/>
      <c r="E18" s="280"/>
      <c r="F18" s="65"/>
      <c r="G18" s="65"/>
      <c r="H18" s="66"/>
    </row>
    <row r="19" spans="1:14" ht="15" x14ac:dyDescent="0.2">
      <c r="A19" s="98"/>
      <c r="B19" s="295" t="s">
        <v>170</v>
      </c>
      <c r="C19" s="296"/>
      <c r="D19" s="296"/>
      <c r="E19" s="296"/>
      <c r="F19" s="65"/>
      <c r="G19" s="65"/>
      <c r="H19" s="66"/>
    </row>
    <row r="20" spans="1:14" ht="14.25" x14ac:dyDescent="0.2">
      <c r="A20" s="98"/>
      <c r="B20" s="301" t="s">
        <v>171</v>
      </c>
      <c r="C20" s="296"/>
      <c r="D20" s="296"/>
      <c r="E20" s="296"/>
      <c r="F20" s="65"/>
      <c r="G20" s="65"/>
      <c r="H20" s="66"/>
    </row>
    <row r="21" spans="1:14" ht="14.25" x14ac:dyDescent="0.2">
      <c r="A21" s="98"/>
      <c r="B21" s="62"/>
      <c r="C21" s="67"/>
      <c r="D21" s="67"/>
      <c r="E21" s="67"/>
      <c r="F21" s="65"/>
      <c r="G21" s="65"/>
      <c r="H21" s="66"/>
    </row>
    <row r="22" spans="1:14" ht="14.25" x14ac:dyDescent="0.2">
      <c r="A22" s="98"/>
      <c r="B22" s="62"/>
      <c r="C22" s="67"/>
      <c r="D22" s="67"/>
      <c r="E22" s="67"/>
      <c r="F22" s="65"/>
      <c r="G22" s="65"/>
      <c r="H22" s="66"/>
    </row>
    <row r="23" spans="1:14" ht="22.5" customHeight="1" x14ac:dyDescent="0.2">
      <c r="A23" s="98"/>
      <c r="B23" s="282"/>
      <c r="C23" s="280"/>
      <c r="D23" s="280"/>
      <c r="E23" s="280"/>
      <c r="F23" s="67"/>
      <c r="G23" s="67"/>
      <c r="H23" s="67"/>
    </row>
    <row r="24" spans="1:14" ht="27.75" customHeight="1" x14ac:dyDescent="0.2">
      <c r="B24" s="280"/>
      <c r="C24" s="280"/>
      <c r="D24" s="280"/>
      <c r="E24" s="280"/>
      <c r="F24" s="280"/>
      <c r="G24" s="280"/>
      <c r="H24" s="280"/>
    </row>
    <row r="25" spans="1:14" ht="27.75" customHeight="1" x14ac:dyDescent="0.2">
      <c r="B25" s="67"/>
      <c r="C25" s="67"/>
      <c r="D25" s="67"/>
      <c r="E25" s="67"/>
      <c r="F25" s="67"/>
      <c r="G25" s="67"/>
      <c r="H25" s="67"/>
    </row>
    <row r="26" spans="1:14" ht="15.75" customHeight="1" x14ac:dyDescent="0.2">
      <c r="B26" s="67"/>
      <c r="C26" s="67"/>
      <c r="D26" s="67"/>
      <c r="E26" s="67"/>
      <c r="F26" s="67"/>
      <c r="G26" s="67"/>
      <c r="H26" s="67"/>
    </row>
    <row r="27" spans="1:14" ht="15" x14ac:dyDescent="0.25">
      <c r="B27" s="68" t="s">
        <v>88</v>
      </c>
      <c r="C27" s="272" t="s">
        <v>92</v>
      </c>
      <c r="D27" s="272"/>
      <c r="E27" s="70" t="s">
        <v>110</v>
      </c>
      <c r="F27" s="70" t="s">
        <v>94</v>
      </c>
      <c r="G27" s="70" t="s">
        <v>18</v>
      </c>
      <c r="H27" s="70" t="s">
        <v>95</v>
      </c>
    </row>
    <row r="28" spans="1:14" ht="25.5" customHeight="1" x14ac:dyDescent="0.2">
      <c r="B28" s="71">
        <v>44943</v>
      </c>
      <c r="C28" s="290" t="s">
        <v>172</v>
      </c>
      <c r="D28" s="280"/>
      <c r="E28" s="99">
        <v>39</v>
      </c>
      <c r="F28" s="108">
        <v>2</v>
      </c>
      <c r="G28" s="140">
        <v>0.1</v>
      </c>
      <c r="H28" s="99">
        <f>E28*F28</f>
        <v>78</v>
      </c>
      <c r="L28" s="145"/>
      <c r="M28" s="145"/>
      <c r="N28" s="145"/>
    </row>
    <row r="29" spans="1:14" ht="30" customHeight="1" x14ac:dyDescent="0.2">
      <c r="B29" s="102">
        <v>44929</v>
      </c>
      <c r="C29" s="286" t="s">
        <v>173</v>
      </c>
      <c r="D29" s="287"/>
      <c r="E29" s="77">
        <v>32</v>
      </c>
      <c r="F29" s="133">
        <v>1</v>
      </c>
      <c r="G29" s="146">
        <v>0.1</v>
      </c>
      <c r="H29" s="135">
        <f>E29*F29</f>
        <v>32</v>
      </c>
      <c r="L29" s="145"/>
      <c r="M29" s="145"/>
      <c r="N29" s="145"/>
    </row>
    <row r="30" spans="1:14" ht="30" customHeight="1" x14ac:dyDescent="0.2">
      <c r="B30" s="72"/>
      <c r="C30" s="290"/>
      <c r="D30" s="280"/>
      <c r="E30" s="63"/>
      <c r="F30" s="79" t="s">
        <v>97</v>
      </c>
      <c r="G30" s="79"/>
      <c r="H30" s="80">
        <f>SUM(H28:H29)</f>
        <v>110</v>
      </c>
      <c r="L30" s="145"/>
      <c r="M30" s="145"/>
      <c r="N30" s="145"/>
    </row>
    <row r="31" spans="1:14" ht="30" customHeight="1" x14ac:dyDescent="0.2">
      <c r="B31" s="72"/>
      <c r="C31" s="72"/>
      <c r="D31" s="67"/>
      <c r="E31" s="63"/>
      <c r="F31" s="79" t="s">
        <v>125</v>
      </c>
      <c r="G31" s="79"/>
      <c r="H31" s="80">
        <f>G28*H30</f>
        <v>11</v>
      </c>
      <c r="L31" s="147"/>
      <c r="M31" s="145"/>
      <c r="N31" s="145"/>
    </row>
    <row r="32" spans="1:14" ht="30" customHeight="1" x14ac:dyDescent="0.2">
      <c r="B32" s="72"/>
      <c r="C32" s="290"/>
      <c r="D32" s="280"/>
      <c r="E32" s="63"/>
      <c r="F32" s="81" t="s">
        <v>99</v>
      </c>
      <c r="G32" s="81"/>
      <c r="H32" s="82">
        <v>0</v>
      </c>
    </row>
    <row r="33" spans="1:12" ht="30" customHeight="1" x14ac:dyDescent="0.25">
      <c r="B33" s="83"/>
      <c r="C33" s="291"/>
      <c r="D33" s="278"/>
      <c r="E33" s="84"/>
      <c r="F33" s="85" t="s">
        <v>100</v>
      </c>
      <c r="G33" s="85"/>
      <c r="H33" s="86">
        <f>SUM(H30:H32)</f>
        <v>121</v>
      </c>
      <c r="L33" s="147"/>
    </row>
    <row r="34" spans="1:12" ht="30" customHeight="1" x14ac:dyDescent="0.25">
      <c r="B34" s="83"/>
      <c r="C34" s="83"/>
      <c r="E34" s="84"/>
      <c r="F34" s="85"/>
      <c r="G34" s="85"/>
      <c r="H34" s="87"/>
    </row>
    <row r="35" spans="1:12" ht="30" customHeight="1" x14ac:dyDescent="0.25">
      <c r="B35" s="83"/>
      <c r="C35" s="83"/>
      <c r="E35" s="84"/>
      <c r="F35" s="85"/>
      <c r="G35" s="85"/>
      <c r="H35" s="86"/>
    </row>
    <row r="36" spans="1:12" ht="30" customHeight="1" x14ac:dyDescent="0.25">
      <c r="B36" s="83"/>
      <c r="C36" s="83"/>
      <c r="E36" s="84"/>
      <c r="F36" s="85"/>
      <c r="G36" s="85"/>
      <c r="H36" s="86"/>
    </row>
    <row r="37" spans="1:12" ht="30" customHeight="1" x14ac:dyDescent="0.25">
      <c r="B37" s="83"/>
      <c r="C37" s="83"/>
      <c r="E37" s="84"/>
      <c r="F37" s="85"/>
      <c r="G37" s="85"/>
      <c r="H37" s="86"/>
    </row>
    <row r="38" spans="1:12" ht="30" customHeight="1" x14ac:dyDescent="0.25">
      <c r="B38" s="83"/>
      <c r="C38" s="83"/>
      <c r="E38" s="84"/>
      <c r="F38" s="85"/>
      <c r="G38" s="85"/>
      <c r="H38" s="86"/>
    </row>
    <row r="39" spans="1:12" ht="30" customHeight="1" x14ac:dyDescent="0.25">
      <c r="B39" s="83"/>
      <c r="C39" s="83"/>
      <c r="E39" s="84"/>
      <c r="F39" s="85"/>
      <c r="G39" s="85"/>
      <c r="H39" s="86"/>
    </row>
    <row r="40" spans="1:12" ht="30" customHeight="1" x14ac:dyDescent="0.25">
      <c r="B40" s="83"/>
      <c r="C40" s="83"/>
      <c r="E40" s="84"/>
      <c r="F40" s="85"/>
      <c r="G40" s="85"/>
      <c r="H40" s="86"/>
    </row>
    <row r="41" spans="1:12" ht="30" customHeight="1" x14ac:dyDescent="0.2">
      <c r="B41" s="83"/>
      <c r="C41" s="88"/>
      <c r="D41" s="292" t="s">
        <v>101</v>
      </c>
      <c r="E41" s="292"/>
      <c r="F41" s="292"/>
      <c r="G41" s="89"/>
      <c r="H41" s="90"/>
    </row>
    <row r="42" spans="1:12" ht="12.75" customHeight="1" x14ac:dyDescent="0.2"/>
    <row r="43" spans="1:12" ht="12.75" x14ac:dyDescent="0.2">
      <c r="A43" s="92"/>
      <c r="B43" s="91" t="s">
        <v>102</v>
      </c>
      <c r="C43" s="92"/>
      <c r="D43" s="92"/>
      <c r="E43" s="300" t="s">
        <v>103</v>
      </c>
      <c r="F43" s="300"/>
      <c r="G43" s="300"/>
      <c r="H43" s="300"/>
      <c r="I43" s="300"/>
    </row>
    <row r="44" spans="1:12" ht="14.25" customHeight="1" x14ac:dyDescent="0.2">
      <c r="A44" s="92"/>
      <c r="B44" s="94" t="s">
        <v>104</v>
      </c>
      <c r="C44" s="53"/>
      <c r="D44" s="53"/>
      <c r="E44" s="305">
        <f>H33</f>
        <v>121</v>
      </c>
      <c r="F44" s="305"/>
      <c r="G44" s="305"/>
      <c r="H44" s="305"/>
      <c r="I44" s="305"/>
    </row>
    <row r="45" spans="1:12" ht="15.75" customHeight="1" x14ac:dyDescent="0.2">
      <c r="A45" s="53"/>
      <c r="B45" s="94" t="s">
        <v>106</v>
      </c>
      <c r="C45" s="53"/>
      <c r="D45" s="53"/>
      <c r="E45" s="305"/>
      <c r="F45" s="305"/>
      <c r="G45" s="305"/>
      <c r="H45" s="305"/>
      <c r="I45" s="305"/>
    </row>
    <row r="46" spans="1:12" ht="14.25" x14ac:dyDescent="0.2">
      <c r="A46" s="53"/>
      <c r="B46" s="94" t="s">
        <v>107</v>
      </c>
      <c r="C46" s="53"/>
      <c r="D46" s="53"/>
      <c r="E46" s="95"/>
      <c r="F46" s="95"/>
      <c r="G46" s="95"/>
      <c r="H46" s="95"/>
      <c r="I46" s="95"/>
    </row>
    <row r="47" spans="1:12" ht="14.25" x14ac:dyDescent="0.2">
      <c r="A47" s="53"/>
      <c r="B47" s="94" t="s">
        <v>114</v>
      </c>
      <c r="C47" s="96"/>
      <c r="D47" s="96"/>
      <c r="E47" s="97"/>
      <c r="F47" s="97"/>
      <c r="G47" s="97"/>
      <c r="H47" s="97"/>
      <c r="I47" s="95"/>
    </row>
    <row r="48" spans="1:12" ht="53.25" customHeight="1" x14ac:dyDescent="0.2">
      <c r="B48" s="284"/>
      <c r="C48" s="278"/>
      <c r="D48" s="278"/>
      <c r="E48" s="278"/>
      <c r="F48" s="278"/>
      <c r="G48" s="278"/>
      <c r="H48" s="278"/>
    </row>
    <row r="52" spans="6:7" ht="15.75" customHeight="1" x14ac:dyDescent="0.2">
      <c r="F52" s="62"/>
      <c r="G52" s="62"/>
    </row>
    <row r="53" spans="6:7" ht="15.75" customHeight="1" x14ac:dyDescent="0.2">
      <c r="F53" s="62"/>
      <c r="G53" s="62"/>
    </row>
    <row r="54" spans="6:7" ht="15.75" customHeight="1" x14ac:dyDescent="0.2">
      <c r="F54" s="62"/>
      <c r="G54" s="62"/>
    </row>
    <row r="57" spans="6:7" ht="15.75" customHeight="1" x14ac:dyDescent="0.2">
      <c r="F57" s="62"/>
      <c r="G57" s="62"/>
    </row>
    <row r="59" spans="6:7" ht="15.75" customHeight="1" x14ac:dyDescent="0.2">
      <c r="F59" s="62"/>
      <c r="G59" s="62"/>
    </row>
  </sheetData>
  <mergeCells count="21">
    <mergeCell ref="E43:I43"/>
    <mergeCell ref="E44:I45"/>
    <mergeCell ref="B48:H48"/>
    <mergeCell ref="C28:D28"/>
    <mergeCell ref="C29:D29"/>
    <mergeCell ref="C30:D30"/>
    <mergeCell ref="C32:D32"/>
    <mergeCell ref="C33:D33"/>
    <mergeCell ref="D41:F41"/>
    <mergeCell ref="C27:D27"/>
    <mergeCell ref="E3:H3"/>
    <mergeCell ref="B4:D6"/>
    <mergeCell ref="E4:H4"/>
    <mergeCell ref="E5:H5"/>
    <mergeCell ref="E6:H6"/>
    <mergeCell ref="B9:H9"/>
    <mergeCell ref="B18:E18"/>
    <mergeCell ref="B19:E19"/>
    <mergeCell ref="B20:E20"/>
    <mergeCell ref="B23:E23"/>
    <mergeCell ref="B24:H24"/>
  </mergeCells>
  <conditionalFormatting sqref="B26">
    <cfRule type="notContainsBlanks" dxfId="39" priority="1">
      <formula>LEN(TRIM(B26))&gt;0</formula>
    </cfRule>
  </conditionalFormatting>
  <hyperlinks>
    <hyperlink ref="B12" r:id="rId1" xr:uid="{F90A3E8A-8B8C-4B08-8079-D819DB2AA28A}"/>
  </hyperlinks>
  <printOptions horizontalCentered="1" verticalCentered="1"/>
  <pageMargins left="0.39370078740157483" right="0.39370078740157483" top="0.19685039370078741" bottom="0.19685039370078741" header="0.31496062992125984" footer="0.31496062992125984"/>
  <pageSetup paperSize="9" scale="76" orientation="portrait" r:id="rId2"/>
  <drawing r:id="rId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3DBB54-8ABE-4A32-B4D7-78DB354E4008}">
  <sheetPr codeName="Sheet21">
    <tabColor theme="4" tint="-0.249977111117893"/>
    <outlinePr summaryBelow="0" summaryRight="0"/>
    <pageSetUpPr fitToPage="1"/>
  </sheetPr>
  <dimension ref="A1:J57"/>
  <sheetViews>
    <sheetView showGridLines="0" topLeftCell="A2" zoomScale="130" zoomScaleNormal="130" workbookViewId="0">
      <selection activeCell="H11" sqref="H11"/>
    </sheetView>
  </sheetViews>
  <sheetFormatPr defaultColWidth="14.42578125" defaultRowHeight="15.75" customHeight="1" x14ac:dyDescent="0.2"/>
  <cols>
    <col min="1" max="1" width="2.85546875" style="55" customWidth="1"/>
    <col min="2" max="3" width="14.42578125" style="55"/>
    <col min="4" max="4" width="18.140625" style="55" customWidth="1"/>
    <col min="5" max="5" width="17.28515625" style="55" customWidth="1"/>
    <col min="6" max="6" width="15" style="55" customWidth="1"/>
    <col min="7" max="7" width="9.7109375" style="55" customWidth="1"/>
    <col min="8" max="8" width="13.7109375" style="55" bestFit="1" customWidth="1"/>
    <col min="9" max="9" width="3.28515625" style="55" customWidth="1"/>
    <col min="10" max="16384" width="14.42578125" style="55"/>
  </cols>
  <sheetData>
    <row r="1" spans="1:10" ht="39" customHeight="1" x14ac:dyDescent="0.2">
      <c r="A1" s="54"/>
      <c r="B1" s="54"/>
      <c r="C1" s="54"/>
      <c r="D1" s="54"/>
      <c r="E1" s="54"/>
      <c r="F1" s="54"/>
      <c r="G1" s="54"/>
      <c r="H1" s="54"/>
      <c r="I1" s="54"/>
    </row>
    <row r="2" spans="1:10" x14ac:dyDescent="0.25">
      <c r="A2" s="54"/>
      <c r="B2" s="56"/>
      <c r="C2" s="56"/>
      <c r="D2" s="56"/>
      <c r="E2" s="57"/>
      <c r="F2" s="57"/>
      <c r="G2" s="57"/>
      <c r="H2" s="57"/>
      <c r="I2" s="56"/>
    </row>
    <row r="3" spans="1:10" ht="12.75" x14ac:dyDescent="0.2">
      <c r="A3" s="54"/>
      <c r="B3" s="56"/>
      <c r="C3" s="56"/>
      <c r="D3" s="56"/>
      <c r="E3" s="273"/>
      <c r="F3" s="274"/>
      <c r="G3" s="274"/>
      <c r="H3" s="274"/>
      <c r="I3" s="56"/>
    </row>
    <row r="4" spans="1:10" ht="12.75" x14ac:dyDescent="0.2">
      <c r="A4" s="54"/>
      <c r="B4" s="275" t="s">
        <v>83</v>
      </c>
      <c r="C4" s="276"/>
      <c r="D4" s="276"/>
      <c r="E4" s="277"/>
      <c r="F4" s="274"/>
      <c r="G4" s="274"/>
      <c r="H4" s="274"/>
      <c r="I4" s="56"/>
    </row>
    <row r="5" spans="1:10" ht="12.75" x14ac:dyDescent="0.2">
      <c r="A5" s="54"/>
      <c r="B5" s="276"/>
      <c r="C5" s="276"/>
      <c r="D5" s="276"/>
      <c r="E5" s="277"/>
      <c r="F5" s="274"/>
      <c r="G5" s="274"/>
      <c r="H5" s="274"/>
      <c r="I5" s="56"/>
    </row>
    <row r="6" spans="1:10" ht="12.75" x14ac:dyDescent="0.2">
      <c r="A6" s="54"/>
      <c r="B6" s="276"/>
      <c r="C6" s="276"/>
      <c r="D6" s="276"/>
      <c r="E6" s="277"/>
      <c r="F6" s="274"/>
      <c r="G6" s="274"/>
      <c r="H6" s="274"/>
      <c r="I6" s="56"/>
    </row>
    <row r="7" spans="1:10" ht="36.75" customHeight="1" x14ac:dyDescent="0.2">
      <c r="A7" s="54"/>
      <c r="B7" s="54"/>
      <c r="C7" s="54"/>
      <c r="D7" s="54"/>
      <c r="E7" s="54"/>
      <c r="F7" s="54"/>
      <c r="G7" s="54"/>
      <c r="H7" s="54"/>
      <c r="I7" s="54"/>
    </row>
    <row r="8" spans="1:10" ht="12.75" x14ac:dyDescent="0.2">
      <c r="A8" s="58"/>
      <c r="B8" s="58"/>
      <c r="C8" s="58"/>
      <c r="D8" s="58"/>
      <c r="E8" s="58"/>
      <c r="F8" s="58"/>
      <c r="G8" s="58"/>
      <c r="H8" s="58"/>
      <c r="I8" s="58"/>
      <c r="J8" s="59"/>
    </row>
    <row r="9" spans="1:10" ht="12.75" x14ac:dyDescent="0.2">
      <c r="A9" s="58"/>
      <c r="B9" s="58"/>
      <c r="C9" s="58"/>
      <c r="D9" s="58"/>
      <c r="E9" s="58"/>
      <c r="F9" s="58"/>
      <c r="G9" s="58"/>
      <c r="H9" s="58"/>
      <c r="I9" s="58"/>
      <c r="J9" s="59"/>
    </row>
    <row r="10" spans="1:10" ht="15" customHeight="1" x14ac:dyDescent="0.2">
      <c r="A10" s="98"/>
      <c r="B10" s="60" t="s">
        <v>84</v>
      </c>
      <c r="G10" s="60"/>
      <c r="H10" s="61" t="s">
        <v>85</v>
      </c>
    </row>
    <row r="11" spans="1:10" ht="14.25" x14ac:dyDescent="0.2">
      <c r="A11" s="98"/>
      <c r="B11" s="62" t="s">
        <v>86</v>
      </c>
      <c r="G11" s="62"/>
      <c r="H11" s="63" t="str">
        <f>"LF"&amp;J11</f>
        <v>LF1041</v>
      </c>
      <c r="J11" s="55">
        <v>1041</v>
      </c>
    </row>
    <row r="12" spans="1:10" ht="15" x14ac:dyDescent="0.2">
      <c r="A12" s="98"/>
      <c r="B12" s="62" t="s">
        <v>87</v>
      </c>
      <c r="G12" s="60"/>
      <c r="H12" s="61" t="s">
        <v>88</v>
      </c>
      <c r="J12" s="55">
        <v>6</v>
      </c>
    </row>
    <row r="13" spans="1:10" ht="14.25" x14ac:dyDescent="0.2">
      <c r="A13" s="98"/>
      <c r="B13" s="62"/>
      <c r="F13" s="107"/>
      <c r="G13" s="64"/>
      <c r="H13" s="65">
        <v>44951</v>
      </c>
    </row>
    <row r="14" spans="1:10" ht="15" x14ac:dyDescent="0.2">
      <c r="A14" s="98"/>
      <c r="G14" s="60"/>
      <c r="H14" s="131" t="s">
        <v>89</v>
      </c>
    </row>
    <row r="15" spans="1:10" ht="14.25" x14ac:dyDescent="0.2">
      <c r="A15" s="98"/>
      <c r="G15" s="64"/>
      <c r="H15" s="65">
        <f>H13+J12</f>
        <v>44957</v>
      </c>
    </row>
    <row r="16" spans="1:10" ht="14.25" x14ac:dyDescent="0.2">
      <c r="A16" s="98"/>
      <c r="B16" s="62"/>
      <c r="G16" s="65"/>
      <c r="H16" s="65"/>
    </row>
    <row r="17" spans="1:8" ht="14.25" x14ac:dyDescent="0.2">
      <c r="A17" s="98"/>
      <c r="F17" s="65"/>
      <c r="G17" s="65"/>
      <c r="H17" s="66"/>
    </row>
    <row r="18" spans="1:8" ht="22.5" customHeight="1" x14ac:dyDescent="0.2">
      <c r="A18" s="98"/>
      <c r="B18" s="279" t="s">
        <v>90</v>
      </c>
      <c r="C18" s="280"/>
      <c r="D18" s="280"/>
      <c r="E18" s="280"/>
      <c r="F18" s="65"/>
      <c r="G18" s="65"/>
      <c r="H18" s="66"/>
    </row>
    <row r="19" spans="1:8" ht="15" x14ac:dyDescent="0.2">
      <c r="A19" s="98"/>
      <c r="B19" s="295" t="s">
        <v>174</v>
      </c>
      <c r="C19" s="296"/>
      <c r="D19" s="296"/>
      <c r="E19" s="296"/>
      <c r="F19" s="65"/>
      <c r="G19" s="65"/>
      <c r="H19" s="66"/>
    </row>
    <row r="20" spans="1:8" ht="14.25" x14ac:dyDescent="0.2">
      <c r="A20" s="98"/>
      <c r="B20" s="297" t="s">
        <v>175</v>
      </c>
      <c r="C20" s="296"/>
      <c r="D20" s="296"/>
      <c r="E20" s="296"/>
      <c r="F20" s="65"/>
      <c r="G20" s="65"/>
      <c r="H20" s="66"/>
    </row>
    <row r="21" spans="1:8" ht="14.25" x14ac:dyDescent="0.2">
      <c r="A21" s="98"/>
      <c r="B21" s="62"/>
      <c r="C21" s="67"/>
      <c r="D21" s="67"/>
      <c r="E21" s="67"/>
      <c r="F21" s="65"/>
      <c r="G21" s="65"/>
      <c r="H21" s="66"/>
    </row>
    <row r="22" spans="1:8" ht="14.25" x14ac:dyDescent="0.2">
      <c r="A22" s="98"/>
      <c r="B22" s="62"/>
      <c r="C22" s="67"/>
      <c r="D22" s="67"/>
      <c r="E22" s="67"/>
      <c r="F22" s="65"/>
      <c r="G22" s="65"/>
      <c r="H22" s="66"/>
    </row>
    <row r="23" spans="1:8" ht="22.5" customHeight="1" x14ac:dyDescent="0.2">
      <c r="A23" s="98"/>
      <c r="B23" s="282"/>
      <c r="C23" s="280"/>
      <c r="D23" s="280"/>
      <c r="E23" s="280"/>
      <c r="F23" s="67"/>
      <c r="G23" s="67"/>
      <c r="H23" s="67"/>
    </row>
    <row r="24" spans="1:8" ht="27.75" customHeight="1" x14ac:dyDescent="0.2">
      <c r="B24" s="280"/>
      <c r="C24" s="280"/>
      <c r="D24" s="280"/>
      <c r="E24" s="280"/>
      <c r="F24" s="280"/>
      <c r="G24" s="280"/>
      <c r="H24" s="280"/>
    </row>
    <row r="25" spans="1:8" ht="14.25" x14ac:dyDescent="0.2">
      <c r="B25" s="67"/>
      <c r="C25" s="67"/>
      <c r="D25" s="67"/>
      <c r="E25" s="67"/>
      <c r="F25" s="67"/>
      <c r="G25" s="67"/>
      <c r="H25" s="67"/>
    </row>
    <row r="26" spans="1:8" ht="15.75" customHeight="1" x14ac:dyDescent="0.2">
      <c r="B26" s="67"/>
      <c r="C26" s="67"/>
      <c r="D26" s="67"/>
      <c r="E26" s="67"/>
      <c r="F26" s="67"/>
      <c r="G26" s="67"/>
      <c r="H26" s="67"/>
    </row>
    <row r="27" spans="1:8" ht="15" x14ac:dyDescent="0.25">
      <c r="B27" s="68" t="s">
        <v>88</v>
      </c>
      <c r="C27" s="272" t="s">
        <v>92</v>
      </c>
      <c r="D27" s="272"/>
      <c r="E27" s="70" t="s">
        <v>93</v>
      </c>
      <c r="F27" s="70" t="s">
        <v>129</v>
      </c>
      <c r="G27" s="70" t="s">
        <v>18</v>
      </c>
      <c r="H27" s="70" t="s">
        <v>95</v>
      </c>
    </row>
    <row r="28" spans="1:8" ht="31.5" customHeight="1" x14ac:dyDescent="0.2">
      <c r="B28" s="71">
        <v>44950</v>
      </c>
      <c r="C28" s="293" t="s">
        <v>122</v>
      </c>
      <c r="D28" s="294"/>
      <c r="E28" s="99">
        <v>38</v>
      </c>
      <c r="F28" s="108">
        <v>3.5</v>
      </c>
      <c r="G28" s="101">
        <v>0.1</v>
      </c>
      <c r="H28" s="99">
        <f>E28*F28</f>
        <v>133</v>
      </c>
    </row>
    <row r="29" spans="1:8" ht="19.5" customHeight="1" x14ac:dyDescent="0.2">
      <c r="B29" s="102"/>
      <c r="C29" s="286"/>
      <c r="D29" s="287"/>
      <c r="E29" s="77"/>
      <c r="F29" s="103"/>
      <c r="G29" s="103"/>
      <c r="H29" s="77"/>
    </row>
    <row r="30" spans="1:8" ht="30" customHeight="1" x14ac:dyDescent="0.2">
      <c r="B30" s="72"/>
      <c r="C30" s="290"/>
      <c r="D30" s="280"/>
      <c r="E30" s="63"/>
      <c r="F30" s="79"/>
      <c r="G30" s="79" t="s">
        <v>97</v>
      </c>
      <c r="H30" s="80">
        <f>SUM(H28:H29)</f>
        <v>133</v>
      </c>
    </row>
    <row r="31" spans="1:8" ht="30" customHeight="1" x14ac:dyDescent="0.2">
      <c r="B31" s="72"/>
      <c r="C31" s="72"/>
      <c r="D31" s="67"/>
      <c r="E31" s="63"/>
      <c r="F31" s="79"/>
      <c r="G31" s="79" t="s">
        <v>113</v>
      </c>
      <c r="H31" s="80">
        <f>H30*0.1</f>
        <v>13.3</v>
      </c>
    </row>
    <row r="32" spans="1:8" ht="30" customHeight="1" x14ac:dyDescent="0.2">
      <c r="B32" s="72"/>
      <c r="C32" s="290"/>
      <c r="D32" s="280"/>
      <c r="E32" s="63"/>
      <c r="F32" s="81"/>
      <c r="G32" s="81" t="s">
        <v>99</v>
      </c>
      <c r="H32" s="82">
        <v>0</v>
      </c>
    </row>
    <row r="33" spans="1:9" ht="30" customHeight="1" x14ac:dyDescent="0.25">
      <c r="B33" s="83"/>
      <c r="C33" s="291"/>
      <c r="D33" s="278"/>
      <c r="E33" s="84"/>
      <c r="F33" s="85"/>
      <c r="G33" s="85" t="s">
        <v>100</v>
      </c>
      <c r="H33" s="86">
        <f>SUM(H30:H32)</f>
        <v>146.30000000000001</v>
      </c>
    </row>
    <row r="34" spans="1:9" ht="30" customHeight="1" x14ac:dyDescent="0.25">
      <c r="B34" s="83"/>
      <c r="C34" s="83"/>
      <c r="E34" s="84"/>
      <c r="F34" s="85"/>
      <c r="G34" s="85"/>
      <c r="H34" s="87"/>
    </row>
    <row r="35" spans="1:9" ht="30" customHeight="1" x14ac:dyDescent="0.25">
      <c r="B35" s="83"/>
      <c r="C35" s="83"/>
      <c r="E35" s="84"/>
      <c r="F35" s="85"/>
      <c r="G35" s="85"/>
      <c r="H35" s="86"/>
    </row>
    <row r="36" spans="1:9" ht="30" customHeight="1" x14ac:dyDescent="0.25">
      <c r="B36" s="83"/>
      <c r="C36" s="83"/>
      <c r="E36" s="84"/>
      <c r="F36" s="85"/>
      <c r="G36" s="85"/>
      <c r="H36" s="86"/>
    </row>
    <row r="37" spans="1:9" ht="30" customHeight="1" x14ac:dyDescent="0.25">
      <c r="B37" s="83"/>
      <c r="C37" s="83"/>
      <c r="E37" s="84"/>
      <c r="F37" s="85"/>
      <c r="G37" s="85"/>
      <c r="H37" s="86"/>
    </row>
    <row r="38" spans="1:9" ht="30" customHeight="1" x14ac:dyDescent="0.25">
      <c r="B38" s="83"/>
      <c r="C38" s="83"/>
      <c r="E38" s="84"/>
      <c r="F38" s="85"/>
      <c r="G38" s="85"/>
      <c r="H38" s="86"/>
    </row>
    <row r="39" spans="1:9" ht="30" customHeight="1" x14ac:dyDescent="0.2">
      <c r="B39" s="83"/>
      <c r="C39" s="88"/>
      <c r="D39" s="292" t="s">
        <v>101</v>
      </c>
      <c r="E39" s="292"/>
      <c r="F39" s="292"/>
      <c r="G39" s="89"/>
      <c r="H39" s="90"/>
    </row>
    <row r="40" spans="1:9" ht="12.75" customHeight="1" x14ac:dyDescent="0.2"/>
    <row r="41" spans="1:9" ht="12.75" x14ac:dyDescent="0.2">
      <c r="A41" s="92"/>
      <c r="B41" s="91" t="s">
        <v>102</v>
      </c>
      <c r="C41" s="92"/>
      <c r="D41" s="92"/>
      <c r="E41" s="104"/>
      <c r="F41" s="95"/>
      <c r="G41" s="95"/>
      <c r="H41" s="105" t="s">
        <v>103</v>
      </c>
      <c r="I41" s="106"/>
    </row>
    <row r="42" spans="1:9" ht="14.25" customHeight="1" x14ac:dyDescent="0.2">
      <c r="A42" s="92"/>
      <c r="B42" s="94" t="s">
        <v>104</v>
      </c>
      <c r="C42" s="53"/>
      <c r="D42" s="53"/>
      <c r="E42" s="104"/>
      <c r="F42" s="104"/>
      <c r="G42" s="283">
        <f>H33</f>
        <v>146.30000000000001</v>
      </c>
      <c r="H42" s="283"/>
      <c r="I42" s="298"/>
    </row>
    <row r="43" spans="1:9" ht="14.25" x14ac:dyDescent="0.2">
      <c r="A43" s="53"/>
      <c r="B43" s="94" t="s">
        <v>106</v>
      </c>
      <c r="C43" s="53"/>
      <c r="D43" s="53"/>
      <c r="E43" s="104"/>
      <c r="F43" s="104"/>
      <c r="G43" s="283"/>
      <c r="H43" s="283"/>
      <c r="I43" s="298"/>
    </row>
    <row r="44" spans="1:9" ht="14.25" x14ac:dyDescent="0.2">
      <c r="A44" s="53"/>
      <c r="B44" s="94" t="s">
        <v>107</v>
      </c>
      <c r="C44" s="53"/>
      <c r="D44" s="53"/>
      <c r="E44" s="95"/>
      <c r="F44" s="95"/>
      <c r="G44" s="95"/>
      <c r="H44" s="95"/>
      <c r="I44" s="95"/>
    </row>
    <row r="45" spans="1:9" ht="14.25" x14ac:dyDescent="0.2">
      <c r="A45" s="53"/>
      <c r="B45" s="94" t="s">
        <v>114</v>
      </c>
      <c r="C45" s="96"/>
      <c r="D45" s="96"/>
      <c r="E45" s="97"/>
      <c r="F45" s="97"/>
      <c r="G45" s="97"/>
      <c r="H45" s="97"/>
      <c r="I45" s="95"/>
    </row>
    <row r="46" spans="1:9" ht="53.25" customHeight="1" x14ac:dyDescent="0.2">
      <c r="B46" s="284"/>
      <c r="C46" s="278"/>
      <c r="D46" s="278"/>
      <c r="E46" s="278"/>
      <c r="F46" s="278"/>
      <c r="G46" s="278"/>
      <c r="H46" s="278"/>
    </row>
    <row r="50" spans="6:7" ht="15.75" customHeight="1" x14ac:dyDescent="0.2">
      <c r="F50" s="62"/>
      <c r="G50" s="62"/>
    </row>
    <row r="51" spans="6:7" ht="15.75" customHeight="1" x14ac:dyDescent="0.2">
      <c r="F51" s="62"/>
      <c r="G51" s="62"/>
    </row>
    <row r="52" spans="6:7" ht="15.75" customHeight="1" x14ac:dyDescent="0.2">
      <c r="F52" s="62"/>
      <c r="G52" s="62"/>
    </row>
    <row r="55" spans="6:7" ht="15.75" customHeight="1" x14ac:dyDescent="0.2">
      <c r="F55" s="62"/>
      <c r="G55" s="62"/>
    </row>
    <row r="57" spans="6:7" ht="15.75" customHeight="1" x14ac:dyDescent="0.2">
      <c r="F57" s="62"/>
      <c r="G57" s="62"/>
    </row>
  </sheetData>
  <mergeCells count="20">
    <mergeCell ref="I42:I43"/>
    <mergeCell ref="B46:H46"/>
    <mergeCell ref="C29:D29"/>
    <mergeCell ref="C30:D30"/>
    <mergeCell ref="C32:D32"/>
    <mergeCell ref="C33:D33"/>
    <mergeCell ref="D39:F39"/>
    <mergeCell ref="G42:H43"/>
    <mergeCell ref="C28:D28"/>
    <mergeCell ref="E3:H3"/>
    <mergeCell ref="B4:D6"/>
    <mergeCell ref="E4:H4"/>
    <mergeCell ref="E5:H5"/>
    <mergeCell ref="E6:H6"/>
    <mergeCell ref="B18:E18"/>
    <mergeCell ref="B19:E19"/>
    <mergeCell ref="B20:E20"/>
    <mergeCell ref="B23:E23"/>
    <mergeCell ref="B24:H24"/>
    <mergeCell ref="C27:D27"/>
  </mergeCells>
  <conditionalFormatting sqref="B26">
    <cfRule type="notContainsBlanks" dxfId="38" priority="1">
      <formula>LEN(TRIM(B26))&gt;0</formula>
    </cfRule>
  </conditionalFormatting>
  <hyperlinks>
    <hyperlink ref="B12" r:id="rId1" xr:uid="{749959B3-9FF4-496F-A6D3-3D309D994B7B}"/>
  </hyperlinks>
  <printOptions horizontalCentered="1" verticalCentered="1"/>
  <pageMargins left="0.13" right="7.0000000000000007E-2" top="0.19685039370078741" bottom="0.19685039370078741" header="0.31496062992125984" footer="0.31496062992125984"/>
  <pageSetup paperSize="9" scale="94" orientation="portrait" r:id="rId2"/>
  <drawing r:id="rId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F00E2A-3713-4F2A-87A3-7DD1086B3715}">
  <sheetPr codeName="Sheet22">
    <tabColor theme="4" tint="-0.249977111117893"/>
    <outlinePr summaryBelow="0" summaryRight="0"/>
    <pageSetUpPr fitToPage="1"/>
  </sheetPr>
  <dimension ref="A1:K59"/>
  <sheetViews>
    <sheetView showGridLines="0" topLeftCell="A10" zoomScale="130" zoomScaleNormal="130" workbookViewId="0">
      <selection activeCell="E28" sqref="E28"/>
    </sheetView>
  </sheetViews>
  <sheetFormatPr defaultColWidth="14.42578125" defaultRowHeight="15.75" customHeight="1" x14ac:dyDescent="0.2"/>
  <cols>
    <col min="1" max="1" width="5.42578125" style="55" customWidth="1"/>
    <col min="2" max="3" width="14.42578125" style="55"/>
    <col min="4" max="4" width="30.85546875" style="55" customWidth="1"/>
    <col min="5" max="5" width="18.140625" style="55" bestFit="1" customWidth="1"/>
    <col min="6" max="6" width="16.42578125" style="55" customWidth="1"/>
    <col min="7" max="7" width="10.7109375" style="55" customWidth="1"/>
    <col min="8" max="8" width="13.7109375" style="55" bestFit="1" customWidth="1"/>
    <col min="9" max="9" width="2.42578125" style="55" customWidth="1"/>
    <col min="10" max="16384" width="14.42578125" style="55"/>
  </cols>
  <sheetData>
    <row r="1" spans="1:10" ht="39" customHeight="1" x14ac:dyDescent="0.2">
      <c r="A1" s="54"/>
      <c r="B1" s="54"/>
      <c r="C1" s="54"/>
      <c r="D1" s="54"/>
      <c r="E1" s="54"/>
      <c r="F1" s="54"/>
      <c r="G1" s="54"/>
      <c r="H1" s="54"/>
      <c r="I1" s="54"/>
    </row>
    <row r="2" spans="1:10" x14ac:dyDescent="0.25">
      <c r="A2" s="54"/>
      <c r="B2" s="56"/>
      <c r="C2" s="56"/>
      <c r="D2" s="56"/>
      <c r="E2" s="57"/>
      <c r="F2" s="57"/>
      <c r="G2" s="57"/>
      <c r="H2" s="57"/>
      <c r="I2" s="56"/>
    </row>
    <row r="3" spans="1:10" ht="12.75" x14ac:dyDescent="0.2">
      <c r="A3" s="54"/>
      <c r="B3" s="56"/>
      <c r="C3" s="56"/>
      <c r="D3" s="56"/>
      <c r="E3" s="273"/>
      <c r="F3" s="274"/>
      <c r="G3" s="274"/>
      <c r="H3" s="274"/>
      <c r="I3" s="56"/>
    </row>
    <row r="4" spans="1:10" ht="12.75" x14ac:dyDescent="0.2">
      <c r="A4" s="54"/>
      <c r="B4" s="275" t="s">
        <v>83</v>
      </c>
      <c r="C4" s="276"/>
      <c r="D4" s="276"/>
      <c r="E4" s="277"/>
      <c r="F4" s="274"/>
      <c r="G4" s="274"/>
      <c r="H4" s="274"/>
      <c r="I4" s="56"/>
    </row>
    <row r="5" spans="1:10" ht="12.75" x14ac:dyDescent="0.2">
      <c r="A5" s="54"/>
      <c r="B5" s="276"/>
      <c r="C5" s="276"/>
      <c r="D5" s="276"/>
      <c r="E5" s="277"/>
      <c r="F5" s="274"/>
      <c r="G5" s="274"/>
      <c r="H5" s="274"/>
      <c r="I5" s="56"/>
    </row>
    <row r="6" spans="1:10" ht="12.75" x14ac:dyDescent="0.2">
      <c r="A6" s="54"/>
      <c r="B6" s="276"/>
      <c r="C6" s="276"/>
      <c r="D6" s="276"/>
      <c r="E6" s="277"/>
      <c r="F6" s="274"/>
      <c r="G6" s="274"/>
      <c r="H6" s="274"/>
      <c r="I6" s="56"/>
    </row>
    <row r="7" spans="1:10" ht="36.75" customHeight="1" x14ac:dyDescent="0.2">
      <c r="A7" s="54"/>
      <c r="B7" s="54"/>
      <c r="C7" s="54"/>
      <c r="D7" s="54"/>
      <c r="E7" s="54"/>
      <c r="F7" s="54"/>
      <c r="G7" s="54"/>
      <c r="H7" s="54"/>
      <c r="I7" s="54"/>
    </row>
    <row r="8" spans="1:10" ht="21.75" customHeight="1" x14ac:dyDescent="0.2">
      <c r="A8" s="58"/>
      <c r="B8" s="58"/>
      <c r="C8" s="58"/>
      <c r="D8" s="58"/>
      <c r="E8" s="58"/>
      <c r="F8" s="58"/>
      <c r="G8" s="58"/>
      <c r="H8" s="58"/>
      <c r="I8" s="58"/>
      <c r="J8" s="59"/>
    </row>
    <row r="9" spans="1:10" ht="15.75" customHeight="1" x14ac:dyDescent="0.2">
      <c r="B9" s="278"/>
      <c r="C9" s="278"/>
      <c r="D9" s="278"/>
      <c r="E9" s="278"/>
      <c r="F9" s="278"/>
      <c r="G9" s="278"/>
      <c r="H9" s="278"/>
    </row>
    <row r="10" spans="1:10" ht="15" customHeight="1" x14ac:dyDescent="0.2">
      <c r="A10" s="98"/>
      <c r="B10" s="60" t="s">
        <v>84</v>
      </c>
      <c r="G10" s="60"/>
      <c r="H10" s="61" t="s">
        <v>85</v>
      </c>
    </row>
    <row r="11" spans="1:10" ht="14.25" x14ac:dyDescent="0.2">
      <c r="A11" s="98"/>
      <c r="B11" s="62" t="s">
        <v>86</v>
      </c>
      <c r="G11" s="62"/>
      <c r="H11" s="63" t="str">
        <f>"MM"&amp;J11</f>
        <v>MM119</v>
      </c>
      <c r="J11" s="176">
        <v>119</v>
      </c>
    </row>
    <row r="12" spans="1:10" ht="15" x14ac:dyDescent="0.2">
      <c r="A12" s="98"/>
      <c r="B12" s="62" t="s">
        <v>87</v>
      </c>
      <c r="G12" s="60"/>
      <c r="H12" s="61" t="s">
        <v>88</v>
      </c>
      <c r="J12" s="55">
        <v>7</v>
      </c>
    </row>
    <row r="13" spans="1:10" ht="14.25" x14ac:dyDescent="0.2">
      <c r="A13" s="98"/>
      <c r="B13" s="62"/>
      <c r="G13" s="64"/>
      <c r="H13" s="181" t="s">
        <v>281</v>
      </c>
    </row>
    <row r="14" spans="1:10" ht="15" x14ac:dyDescent="0.2">
      <c r="A14" s="98"/>
      <c r="G14" s="60"/>
      <c r="H14" s="61" t="s">
        <v>89</v>
      </c>
    </row>
    <row r="15" spans="1:10" ht="14.25" x14ac:dyDescent="0.2">
      <c r="A15" s="98"/>
      <c r="G15" s="64"/>
      <c r="H15" s="65">
        <f>H13+J12</f>
        <v>32723</v>
      </c>
    </row>
    <row r="16" spans="1:10" ht="14.25" x14ac:dyDescent="0.2">
      <c r="A16" s="98"/>
      <c r="B16" s="62"/>
      <c r="F16" s="65"/>
      <c r="G16" s="65"/>
      <c r="H16" s="65"/>
    </row>
    <row r="17" spans="1:11" ht="14.25" x14ac:dyDescent="0.2">
      <c r="A17" s="98"/>
      <c r="F17" s="65"/>
      <c r="G17" s="65"/>
      <c r="H17" s="66"/>
    </row>
    <row r="18" spans="1:11" ht="22.5" customHeight="1" x14ac:dyDescent="0.2">
      <c r="A18" s="98"/>
      <c r="B18" s="279" t="s">
        <v>90</v>
      </c>
      <c r="C18" s="280"/>
      <c r="D18" s="280"/>
      <c r="E18" s="280"/>
      <c r="F18" s="65"/>
      <c r="G18" s="65"/>
      <c r="H18" s="66"/>
    </row>
    <row r="19" spans="1:11" ht="15" x14ac:dyDescent="0.2">
      <c r="A19" s="98"/>
      <c r="B19" s="279" t="s">
        <v>176</v>
      </c>
      <c r="C19" s="280"/>
      <c r="D19" s="280"/>
      <c r="E19" s="280"/>
      <c r="F19" s="65"/>
      <c r="G19" s="65"/>
      <c r="H19" s="66"/>
    </row>
    <row r="20" spans="1:11" ht="14.25" x14ac:dyDescent="0.2">
      <c r="A20" s="98"/>
      <c r="B20" s="282" t="s">
        <v>177</v>
      </c>
      <c r="C20" s="280"/>
      <c r="D20" s="280"/>
      <c r="E20" s="280"/>
      <c r="F20" s="65"/>
      <c r="G20" s="65"/>
      <c r="H20" s="66"/>
    </row>
    <row r="21" spans="1:11" ht="14.25" x14ac:dyDescent="0.2">
      <c r="A21" s="98"/>
      <c r="B21" s="62"/>
      <c r="C21" s="67"/>
      <c r="D21" s="67"/>
      <c r="E21" s="67"/>
      <c r="F21" s="65"/>
      <c r="G21" s="65"/>
      <c r="H21" s="66"/>
    </row>
    <row r="22" spans="1:11" ht="14.25" x14ac:dyDescent="0.2">
      <c r="A22" s="98"/>
      <c r="B22" s="62"/>
      <c r="C22" s="67"/>
      <c r="D22" s="67"/>
      <c r="E22" s="67"/>
      <c r="F22" s="65"/>
      <c r="G22" s="65"/>
      <c r="H22" s="66"/>
    </row>
    <row r="23" spans="1:11" ht="22.5" customHeight="1" x14ac:dyDescent="0.2">
      <c r="A23" s="98"/>
      <c r="B23" s="282"/>
      <c r="C23" s="280"/>
      <c r="D23" s="280"/>
      <c r="E23" s="280"/>
      <c r="F23" s="67"/>
      <c r="G23" s="67"/>
      <c r="H23" s="67"/>
    </row>
    <row r="24" spans="1:11" ht="27.75" customHeight="1" x14ac:dyDescent="0.2">
      <c r="B24" s="280"/>
      <c r="C24" s="280"/>
      <c r="D24" s="280"/>
      <c r="E24" s="280"/>
      <c r="F24" s="280"/>
      <c r="G24" s="280"/>
      <c r="H24" s="280"/>
    </row>
    <row r="25" spans="1:11" ht="27.75" customHeight="1" x14ac:dyDescent="0.2">
      <c r="B25" s="67"/>
      <c r="C25" s="67"/>
      <c r="D25" s="67"/>
      <c r="E25" s="67"/>
      <c r="F25" s="67"/>
      <c r="G25" s="67"/>
      <c r="H25" s="67"/>
    </row>
    <row r="26" spans="1:11" ht="15.75" customHeight="1" x14ac:dyDescent="0.2">
      <c r="B26" s="67"/>
      <c r="C26" s="67"/>
      <c r="D26" s="67"/>
      <c r="E26" s="67"/>
      <c r="F26" s="67"/>
      <c r="G26" s="67"/>
      <c r="H26" s="67"/>
    </row>
    <row r="27" spans="1:11" ht="15" x14ac:dyDescent="0.25">
      <c r="B27" s="68" t="s">
        <v>88</v>
      </c>
      <c r="C27" s="272" t="s">
        <v>92</v>
      </c>
      <c r="D27" s="272"/>
      <c r="E27" s="70" t="s">
        <v>110</v>
      </c>
      <c r="F27" s="70" t="s">
        <v>94</v>
      </c>
      <c r="G27" s="70" t="s">
        <v>18</v>
      </c>
      <c r="H27" s="70" t="s">
        <v>95</v>
      </c>
    </row>
    <row r="28" spans="1:11" ht="25.5" customHeight="1" x14ac:dyDescent="0.2">
      <c r="B28" s="71">
        <v>44950</v>
      </c>
      <c r="C28" s="290" t="s">
        <v>178</v>
      </c>
      <c r="D28" s="280"/>
      <c r="E28" s="182">
        <v>0</v>
      </c>
      <c r="F28" s="180">
        <v>10</v>
      </c>
      <c r="G28" s="101">
        <v>0.1</v>
      </c>
      <c r="H28" s="99">
        <f>E28*F28</f>
        <v>0</v>
      </c>
    </row>
    <row r="29" spans="1:11" ht="14.25" x14ac:dyDescent="0.2">
      <c r="B29" s="76"/>
      <c r="C29" s="286"/>
      <c r="D29" s="287"/>
      <c r="E29" s="109"/>
      <c r="F29" s="110"/>
      <c r="G29" s="110"/>
      <c r="H29" s="111"/>
    </row>
    <row r="30" spans="1:11" ht="30" customHeight="1" x14ac:dyDescent="0.2">
      <c r="B30" s="72"/>
      <c r="C30" s="290"/>
      <c r="D30" s="280"/>
      <c r="E30" s="63"/>
      <c r="F30" s="79" t="s">
        <v>97</v>
      </c>
      <c r="G30" s="79"/>
      <c r="H30" s="80">
        <f>SUM(H28:H29)</f>
        <v>0</v>
      </c>
    </row>
    <row r="31" spans="1:11" ht="30" customHeight="1" x14ac:dyDescent="0.2">
      <c r="B31" s="72"/>
      <c r="C31" s="72"/>
      <c r="D31" s="67"/>
      <c r="E31" s="63"/>
      <c r="F31" s="79" t="s">
        <v>125</v>
      </c>
      <c r="G31" s="79"/>
      <c r="H31" s="80">
        <f>G28*H28</f>
        <v>0</v>
      </c>
      <c r="K31" s="113"/>
    </row>
    <row r="32" spans="1:11" ht="30" customHeight="1" x14ac:dyDescent="0.2">
      <c r="B32" s="72"/>
      <c r="C32" s="290"/>
      <c r="D32" s="280"/>
      <c r="E32" s="63"/>
      <c r="F32" s="81" t="s">
        <v>99</v>
      </c>
      <c r="G32" s="81"/>
      <c r="H32" s="82">
        <v>0</v>
      </c>
    </row>
    <row r="33" spans="1:9" ht="30" customHeight="1" x14ac:dyDescent="0.25">
      <c r="B33" s="83"/>
      <c r="C33" s="291"/>
      <c r="D33" s="278"/>
      <c r="E33" s="84"/>
      <c r="F33" s="85" t="s">
        <v>100</v>
      </c>
      <c r="G33" s="85"/>
      <c r="H33" s="86">
        <f>SUM(H30:H32)</f>
        <v>0</v>
      </c>
    </row>
    <row r="34" spans="1:9" ht="30" customHeight="1" x14ac:dyDescent="0.25">
      <c r="B34" s="83"/>
      <c r="C34" s="83"/>
      <c r="E34" s="84"/>
      <c r="F34" s="85"/>
      <c r="G34" s="85"/>
      <c r="H34" s="87"/>
    </row>
    <row r="35" spans="1:9" ht="30" customHeight="1" x14ac:dyDescent="0.25">
      <c r="B35" s="83"/>
      <c r="C35" s="83"/>
      <c r="E35" s="84"/>
      <c r="F35" s="85"/>
      <c r="G35" s="85"/>
      <c r="H35" s="86"/>
    </row>
    <row r="36" spans="1:9" ht="30" customHeight="1" x14ac:dyDescent="0.25">
      <c r="B36" s="83"/>
      <c r="C36" s="83"/>
      <c r="E36" s="84"/>
      <c r="F36" s="85"/>
      <c r="G36" s="85"/>
      <c r="H36" s="86"/>
    </row>
    <row r="37" spans="1:9" ht="30" customHeight="1" x14ac:dyDescent="0.25">
      <c r="B37" s="83"/>
      <c r="C37" s="83"/>
      <c r="E37" s="84"/>
      <c r="F37" s="85"/>
      <c r="G37" s="85"/>
      <c r="H37" s="86"/>
    </row>
    <row r="38" spans="1:9" ht="30" customHeight="1" x14ac:dyDescent="0.25">
      <c r="B38" s="83"/>
      <c r="C38" s="83"/>
      <c r="E38" s="84"/>
      <c r="F38" s="85"/>
      <c r="G38" s="85"/>
      <c r="H38" s="86"/>
    </row>
    <row r="39" spans="1:9" ht="30" customHeight="1" x14ac:dyDescent="0.25">
      <c r="B39" s="83"/>
      <c r="C39" s="83"/>
      <c r="E39" s="84"/>
      <c r="F39" s="85"/>
      <c r="G39" s="85"/>
      <c r="H39" s="86"/>
    </row>
    <row r="40" spans="1:9" ht="30" customHeight="1" x14ac:dyDescent="0.25">
      <c r="B40" s="83"/>
      <c r="C40" s="83"/>
      <c r="E40" s="84"/>
      <c r="F40" s="85"/>
      <c r="G40" s="85"/>
      <c r="H40" s="86"/>
    </row>
    <row r="41" spans="1:9" ht="30" customHeight="1" x14ac:dyDescent="0.2">
      <c r="B41" s="83"/>
      <c r="C41" s="88"/>
      <c r="D41" s="292" t="s">
        <v>101</v>
      </c>
      <c r="E41" s="292"/>
      <c r="F41" s="292"/>
      <c r="G41" s="89"/>
      <c r="H41" s="90"/>
    </row>
    <row r="42" spans="1:9" ht="12.75" customHeight="1" x14ac:dyDescent="0.2"/>
    <row r="43" spans="1:9" ht="12.75" x14ac:dyDescent="0.2">
      <c r="A43" s="92"/>
      <c r="B43" s="91" t="s">
        <v>102</v>
      </c>
      <c r="C43" s="92"/>
      <c r="D43" s="92"/>
      <c r="E43" s="300" t="s">
        <v>103</v>
      </c>
      <c r="F43" s="300"/>
      <c r="G43" s="300"/>
      <c r="H43" s="300"/>
      <c r="I43" s="300"/>
    </row>
    <row r="44" spans="1:9" ht="14.25" customHeight="1" x14ac:dyDescent="0.2">
      <c r="A44" s="92"/>
      <c r="B44" s="94" t="s">
        <v>104</v>
      </c>
      <c r="C44" s="53"/>
      <c r="D44" s="53"/>
      <c r="E44" s="305">
        <f>H33</f>
        <v>0</v>
      </c>
      <c r="F44" s="305"/>
      <c r="G44" s="305"/>
      <c r="H44" s="305"/>
      <c r="I44" s="305"/>
    </row>
    <row r="45" spans="1:9" ht="15.75" customHeight="1" x14ac:dyDescent="0.2">
      <c r="A45" s="53"/>
      <c r="B45" s="94" t="s">
        <v>105</v>
      </c>
      <c r="C45" s="53"/>
      <c r="D45" s="53"/>
      <c r="E45" s="305"/>
      <c r="F45" s="305"/>
      <c r="G45" s="305"/>
      <c r="H45" s="305"/>
      <c r="I45" s="305"/>
    </row>
    <row r="46" spans="1:9" ht="14.25" x14ac:dyDescent="0.2">
      <c r="A46" s="53"/>
      <c r="B46" s="94" t="s">
        <v>106</v>
      </c>
      <c r="C46" s="53"/>
      <c r="D46" s="53"/>
      <c r="E46" s="95"/>
      <c r="F46" s="95"/>
      <c r="G46" s="95"/>
      <c r="H46" s="95"/>
      <c r="I46" s="95"/>
    </row>
    <row r="47" spans="1:9" ht="14.25" x14ac:dyDescent="0.2">
      <c r="A47" s="53"/>
      <c r="B47" s="94" t="s">
        <v>107</v>
      </c>
      <c r="C47" s="96"/>
      <c r="D47" s="96"/>
      <c r="E47" s="97"/>
      <c r="F47" s="97"/>
      <c r="G47" s="97"/>
      <c r="H47" s="97"/>
      <c r="I47" s="95"/>
    </row>
    <row r="48" spans="1:9" ht="53.25" customHeight="1" x14ac:dyDescent="0.2">
      <c r="B48" s="284"/>
      <c r="C48" s="278"/>
      <c r="D48" s="278"/>
      <c r="E48" s="278"/>
      <c r="F48" s="278"/>
      <c r="G48" s="278"/>
      <c r="H48" s="278"/>
    </row>
    <row r="52" spans="6:7" ht="15.75" customHeight="1" x14ac:dyDescent="0.2">
      <c r="F52" s="62"/>
      <c r="G52" s="62"/>
    </row>
    <row r="53" spans="6:7" ht="15.75" customHeight="1" x14ac:dyDescent="0.2">
      <c r="F53" s="62"/>
      <c r="G53" s="62"/>
    </row>
    <row r="54" spans="6:7" ht="15.75" customHeight="1" x14ac:dyDescent="0.2">
      <c r="F54" s="62"/>
      <c r="G54" s="62"/>
    </row>
    <row r="57" spans="6:7" ht="15.75" customHeight="1" x14ac:dyDescent="0.2">
      <c r="F57" s="62"/>
      <c r="G57" s="62"/>
    </row>
    <row r="59" spans="6:7" ht="15.75" customHeight="1" x14ac:dyDescent="0.2">
      <c r="F59" s="62"/>
      <c r="G59" s="62"/>
    </row>
  </sheetData>
  <mergeCells count="21">
    <mergeCell ref="E43:I43"/>
    <mergeCell ref="E44:I45"/>
    <mergeCell ref="B48:H48"/>
    <mergeCell ref="C28:D28"/>
    <mergeCell ref="C29:D29"/>
    <mergeCell ref="C30:D30"/>
    <mergeCell ref="C32:D32"/>
    <mergeCell ref="C33:D33"/>
    <mergeCell ref="D41:F41"/>
    <mergeCell ref="C27:D27"/>
    <mergeCell ref="E3:H3"/>
    <mergeCell ref="B4:D6"/>
    <mergeCell ref="E4:H4"/>
    <mergeCell ref="E5:H5"/>
    <mergeCell ref="E6:H6"/>
    <mergeCell ref="B9:H9"/>
    <mergeCell ref="B18:E18"/>
    <mergeCell ref="B19:E19"/>
    <mergeCell ref="B20:E20"/>
    <mergeCell ref="B23:E23"/>
    <mergeCell ref="B24:H24"/>
  </mergeCells>
  <conditionalFormatting sqref="B26">
    <cfRule type="notContainsBlanks" dxfId="37" priority="1">
      <formula>LEN(TRIM(B26))&gt;0</formula>
    </cfRule>
  </conditionalFormatting>
  <hyperlinks>
    <hyperlink ref="B12" r:id="rId1" xr:uid="{A931AC2D-7F0B-41ED-AEAB-9316E3DF8CDD}"/>
  </hyperlinks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78" orientation="portrait" r:id="rId2"/>
  <drawing r:id="rId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1FDAA3-88E5-40A9-9E53-FB8DDBCF7918}">
  <sheetPr codeName="Sheet23">
    <tabColor theme="4" tint="-0.249977111117893"/>
    <outlinePr summaryBelow="0" summaryRight="0"/>
    <pageSetUpPr fitToPage="1"/>
  </sheetPr>
  <dimension ref="A1:J59"/>
  <sheetViews>
    <sheetView showGridLines="0" topLeftCell="A4" zoomScaleNormal="100" workbookViewId="0">
      <selection activeCell="H11" sqref="H11"/>
    </sheetView>
  </sheetViews>
  <sheetFormatPr defaultColWidth="14.42578125" defaultRowHeight="15.75" customHeight="1" x14ac:dyDescent="0.2"/>
  <cols>
    <col min="1" max="1" width="2.85546875" style="55" customWidth="1"/>
    <col min="2" max="3" width="14.42578125" style="55"/>
    <col min="4" max="4" width="26.42578125" style="55" customWidth="1"/>
    <col min="5" max="5" width="18.140625" style="55" bestFit="1" customWidth="1"/>
    <col min="6" max="6" width="16.42578125" style="55" customWidth="1"/>
    <col min="7" max="7" width="13.28515625" style="55" customWidth="1"/>
    <col min="8" max="8" width="16.42578125" style="55" customWidth="1"/>
    <col min="9" max="9" width="2.42578125" style="55" customWidth="1"/>
    <col min="10" max="16384" width="14.42578125" style="55"/>
  </cols>
  <sheetData>
    <row r="1" spans="1:10" ht="39" customHeight="1" x14ac:dyDescent="0.2">
      <c r="A1" s="54"/>
      <c r="B1" s="54"/>
      <c r="C1" s="54"/>
      <c r="D1" s="54"/>
      <c r="E1" s="54"/>
      <c r="F1" s="54"/>
      <c r="G1" s="54"/>
      <c r="H1" s="54"/>
      <c r="I1" s="54"/>
    </row>
    <row r="2" spans="1:10" x14ac:dyDescent="0.25">
      <c r="A2" s="54"/>
      <c r="B2" s="56"/>
      <c r="C2" s="56"/>
      <c r="D2" s="56"/>
      <c r="E2" s="57"/>
      <c r="F2" s="57"/>
      <c r="G2" s="57"/>
      <c r="H2" s="57"/>
      <c r="I2" s="56"/>
    </row>
    <row r="3" spans="1:10" ht="12.75" x14ac:dyDescent="0.2">
      <c r="A3" s="54"/>
      <c r="B3" s="56"/>
      <c r="C3" s="56"/>
      <c r="D3" s="56"/>
      <c r="E3" s="273"/>
      <c r="F3" s="274"/>
      <c r="G3" s="274"/>
      <c r="H3" s="274"/>
      <c r="I3" s="56"/>
    </row>
    <row r="4" spans="1:10" ht="12.75" x14ac:dyDescent="0.2">
      <c r="A4" s="54"/>
      <c r="B4" s="275" t="s">
        <v>83</v>
      </c>
      <c r="C4" s="276"/>
      <c r="D4" s="276"/>
      <c r="E4" s="277"/>
      <c r="F4" s="274"/>
      <c r="G4" s="274"/>
      <c r="H4" s="274"/>
      <c r="I4" s="56"/>
    </row>
    <row r="5" spans="1:10" ht="12.75" x14ac:dyDescent="0.2">
      <c r="A5" s="54"/>
      <c r="B5" s="276"/>
      <c r="C5" s="276"/>
      <c r="D5" s="276"/>
      <c r="E5" s="277"/>
      <c r="F5" s="274"/>
      <c r="G5" s="274"/>
      <c r="H5" s="274"/>
      <c r="I5" s="56"/>
    </row>
    <row r="6" spans="1:10" ht="12.75" x14ac:dyDescent="0.2">
      <c r="A6" s="54"/>
      <c r="B6" s="276"/>
      <c r="C6" s="276"/>
      <c r="D6" s="276"/>
      <c r="E6" s="277"/>
      <c r="F6" s="274"/>
      <c r="G6" s="274"/>
      <c r="H6" s="274"/>
      <c r="I6" s="56"/>
    </row>
    <row r="7" spans="1:10" ht="36.75" customHeight="1" x14ac:dyDescent="0.2">
      <c r="A7" s="54"/>
      <c r="B7" s="54"/>
      <c r="C7" s="54"/>
      <c r="D7" s="54"/>
      <c r="E7" s="54"/>
      <c r="F7" s="54"/>
      <c r="G7" s="54"/>
      <c r="H7" s="54"/>
      <c r="I7" s="54"/>
    </row>
    <row r="8" spans="1:10" ht="21.75" customHeight="1" x14ac:dyDescent="0.2">
      <c r="A8" s="58"/>
      <c r="B8" s="58"/>
      <c r="C8" s="58"/>
      <c r="D8" s="58"/>
      <c r="E8" s="58"/>
      <c r="F8" s="58"/>
      <c r="G8" s="58"/>
      <c r="H8" s="58"/>
      <c r="I8" s="58"/>
      <c r="J8" s="59"/>
    </row>
    <row r="9" spans="1:10" ht="15.75" customHeight="1" x14ac:dyDescent="0.2">
      <c r="B9" s="278"/>
      <c r="C9" s="278"/>
      <c r="D9" s="278"/>
      <c r="E9" s="278"/>
      <c r="F9" s="278"/>
      <c r="G9" s="278"/>
      <c r="H9" s="278"/>
    </row>
    <row r="10" spans="1:10" ht="15" customHeight="1" x14ac:dyDescent="0.2">
      <c r="A10" s="98"/>
      <c r="B10" s="60" t="s">
        <v>84</v>
      </c>
      <c r="G10" s="60"/>
      <c r="H10" s="61" t="s">
        <v>85</v>
      </c>
    </row>
    <row r="11" spans="1:10" ht="14.25" x14ac:dyDescent="0.2">
      <c r="A11" s="98"/>
      <c r="B11" s="62" t="s">
        <v>86</v>
      </c>
      <c r="G11" s="62"/>
      <c r="H11" s="63" t="str">
        <f>"MJ"&amp;J11</f>
        <v>MJ52</v>
      </c>
      <c r="J11" s="55">
        <v>52</v>
      </c>
    </row>
    <row r="12" spans="1:10" ht="15" x14ac:dyDescent="0.2">
      <c r="A12" s="98"/>
      <c r="B12" s="62" t="s">
        <v>87</v>
      </c>
      <c r="G12" s="60"/>
      <c r="H12" s="61" t="s">
        <v>88</v>
      </c>
      <c r="J12" s="55">
        <v>7</v>
      </c>
    </row>
    <row r="13" spans="1:10" ht="14.25" x14ac:dyDescent="0.2">
      <c r="A13" s="98"/>
      <c r="B13" s="62"/>
      <c r="G13" s="64"/>
      <c r="H13" s="65">
        <v>44945</v>
      </c>
    </row>
    <row r="14" spans="1:10" ht="15" x14ac:dyDescent="0.2">
      <c r="A14" s="98"/>
      <c r="G14" s="60"/>
      <c r="H14" s="61" t="s">
        <v>89</v>
      </c>
    </row>
    <row r="15" spans="1:10" ht="14.25" x14ac:dyDescent="0.2">
      <c r="A15" s="98"/>
      <c r="G15" s="64"/>
      <c r="H15" s="65">
        <f>H13+J12</f>
        <v>44952</v>
      </c>
    </row>
    <row r="16" spans="1:10" ht="14.25" x14ac:dyDescent="0.2">
      <c r="A16" s="98"/>
      <c r="B16" s="62"/>
      <c r="F16" s="65"/>
      <c r="G16" s="65"/>
      <c r="H16" s="65"/>
    </row>
    <row r="17" spans="1:8" ht="14.25" x14ac:dyDescent="0.2">
      <c r="A17" s="98"/>
      <c r="F17" s="65"/>
      <c r="G17" s="65"/>
      <c r="H17" s="66"/>
    </row>
    <row r="18" spans="1:8" ht="22.5" customHeight="1" x14ac:dyDescent="0.2">
      <c r="A18" s="98"/>
      <c r="B18" s="279" t="s">
        <v>90</v>
      </c>
      <c r="C18" s="280"/>
      <c r="D18" s="280"/>
      <c r="E18" s="280"/>
      <c r="F18" s="65"/>
      <c r="G18" s="65"/>
      <c r="H18" s="66"/>
    </row>
    <row r="19" spans="1:8" ht="15" x14ac:dyDescent="0.2">
      <c r="A19" s="98"/>
      <c r="B19" s="295" t="s">
        <v>37</v>
      </c>
      <c r="C19" s="296"/>
      <c r="D19" s="296"/>
      <c r="E19" s="296"/>
      <c r="F19" s="65"/>
      <c r="G19" s="65"/>
      <c r="H19" s="66"/>
    </row>
    <row r="20" spans="1:8" ht="14.25" x14ac:dyDescent="0.2">
      <c r="A20" s="98"/>
      <c r="B20" s="297" t="s">
        <v>179</v>
      </c>
      <c r="C20" s="296"/>
      <c r="D20" s="296"/>
      <c r="E20" s="296"/>
      <c r="F20" s="65"/>
      <c r="G20" s="65"/>
      <c r="H20" s="66"/>
    </row>
    <row r="21" spans="1:8" ht="14.25" x14ac:dyDescent="0.2">
      <c r="A21" s="98"/>
      <c r="B21" s="62"/>
      <c r="C21" s="67"/>
      <c r="D21" s="67"/>
      <c r="E21" s="67"/>
      <c r="F21" s="65"/>
      <c r="G21" s="65"/>
      <c r="H21" s="66"/>
    </row>
    <row r="22" spans="1:8" ht="14.25" x14ac:dyDescent="0.2">
      <c r="A22" s="98"/>
      <c r="B22" s="62"/>
      <c r="C22" s="67"/>
      <c r="D22" s="67"/>
      <c r="E22" s="67"/>
      <c r="F22" s="65"/>
      <c r="G22" s="65"/>
      <c r="H22" s="66"/>
    </row>
    <row r="23" spans="1:8" ht="22.5" customHeight="1" x14ac:dyDescent="0.2">
      <c r="A23" s="98"/>
      <c r="B23" s="282"/>
      <c r="C23" s="280"/>
      <c r="D23" s="280"/>
      <c r="E23" s="280"/>
      <c r="F23" s="67"/>
      <c r="G23" s="67"/>
      <c r="H23" s="67"/>
    </row>
    <row r="24" spans="1:8" ht="27.75" customHeight="1" x14ac:dyDescent="0.2">
      <c r="B24" s="280"/>
      <c r="C24" s="280"/>
      <c r="D24" s="280"/>
      <c r="E24" s="280"/>
      <c r="F24" s="280"/>
      <c r="G24" s="280"/>
      <c r="H24" s="280"/>
    </row>
    <row r="25" spans="1:8" ht="27.75" customHeight="1" x14ac:dyDescent="0.2">
      <c r="B25" s="67"/>
      <c r="C25" s="67"/>
      <c r="D25" s="67"/>
      <c r="E25" s="67"/>
      <c r="F25" s="67"/>
      <c r="G25" s="67"/>
      <c r="H25" s="67"/>
    </row>
    <row r="26" spans="1:8" ht="15.75" customHeight="1" x14ac:dyDescent="0.2">
      <c r="B26" s="67"/>
      <c r="C26" s="67"/>
      <c r="D26" s="67"/>
      <c r="E26" s="67"/>
      <c r="F26" s="67"/>
      <c r="G26" s="67"/>
      <c r="H26" s="67"/>
    </row>
    <row r="27" spans="1:8" ht="15" x14ac:dyDescent="0.25">
      <c r="B27" s="68" t="s">
        <v>88</v>
      </c>
      <c r="C27" s="272" t="s">
        <v>92</v>
      </c>
      <c r="D27" s="272"/>
      <c r="E27" s="69" t="s">
        <v>110</v>
      </c>
      <c r="F27" s="69" t="s">
        <v>94</v>
      </c>
      <c r="G27" s="70" t="s">
        <v>18</v>
      </c>
      <c r="H27" s="69" t="s">
        <v>121</v>
      </c>
    </row>
    <row r="28" spans="1:8" ht="25.5" customHeight="1" x14ac:dyDescent="0.2">
      <c r="B28" s="71">
        <v>44943</v>
      </c>
      <c r="C28" s="290" t="s">
        <v>122</v>
      </c>
      <c r="D28" s="280"/>
      <c r="E28" s="73">
        <v>39</v>
      </c>
      <c r="F28" s="74">
        <v>2</v>
      </c>
      <c r="G28" s="138">
        <v>0.1</v>
      </c>
      <c r="H28" s="73">
        <f>E28*F28</f>
        <v>78</v>
      </c>
    </row>
    <row r="29" spans="1:8" ht="30" customHeight="1" x14ac:dyDescent="0.2">
      <c r="B29" s="76"/>
      <c r="C29" s="286"/>
      <c r="D29" s="287"/>
      <c r="E29" s="77"/>
      <c r="F29" s="103"/>
      <c r="G29" s="103"/>
      <c r="H29" s="77"/>
    </row>
    <row r="30" spans="1:8" ht="30" customHeight="1" x14ac:dyDescent="0.2">
      <c r="B30" s="72"/>
      <c r="C30" s="290"/>
      <c r="D30" s="280"/>
      <c r="E30" s="63"/>
      <c r="F30" s="79" t="s">
        <v>97</v>
      </c>
      <c r="G30" s="79"/>
      <c r="H30" s="80">
        <f>SUM(H28:H29)</f>
        <v>78</v>
      </c>
    </row>
    <row r="31" spans="1:8" ht="30" customHeight="1" x14ac:dyDescent="0.2">
      <c r="B31" s="72"/>
      <c r="C31" s="72"/>
      <c r="D31" s="67"/>
      <c r="E31" s="63"/>
      <c r="F31" s="79" t="s">
        <v>98</v>
      </c>
      <c r="G31" s="79"/>
      <c r="H31" s="80">
        <f>H28*0.1</f>
        <v>7.8000000000000007</v>
      </c>
    </row>
    <row r="32" spans="1:8" ht="30" customHeight="1" x14ac:dyDescent="0.2">
      <c r="B32" s="72"/>
      <c r="C32" s="290"/>
      <c r="D32" s="280"/>
      <c r="E32" s="63"/>
      <c r="F32" s="81" t="s">
        <v>99</v>
      </c>
      <c r="G32" s="81"/>
      <c r="H32" s="82">
        <v>0</v>
      </c>
    </row>
    <row r="33" spans="1:9" ht="30" customHeight="1" x14ac:dyDescent="0.25">
      <c r="B33" s="83"/>
      <c r="C33" s="291"/>
      <c r="D33" s="278"/>
      <c r="E33" s="84"/>
      <c r="F33" s="85" t="s">
        <v>100</v>
      </c>
      <c r="G33" s="85"/>
      <c r="H33" s="86">
        <f>SUM(H30:H32)</f>
        <v>85.8</v>
      </c>
    </row>
    <row r="34" spans="1:9" ht="30" customHeight="1" x14ac:dyDescent="0.25">
      <c r="B34" s="83"/>
      <c r="C34" s="83"/>
      <c r="E34" s="148"/>
      <c r="F34" s="85"/>
      <c r="G34" s="85"/>
      <c r="H34" s="149"/>
    </row>
    <row r="35" spans="1:9" ht="30" customHeight="1" x14ac:dyDescent="0.25">
      <c r="B35" s="83"/>
      <c r="C35" s="83"/>
      <c r="E35" s="84"/>
      <c r="F35" s="85"/>
      <c r="G35" s="85"/>
      <c r="H35" s="86"/>
    </row>
    <row r="36" spans="1:9" ht="30" customHeight="1" x14ac:dyDescent="0.25">
      <c r="B36" s="83"/>
      <c r="C36" s="83"/>
      <c r="E36" s="84"/>
      <c r="F36" s="85"/>
      <c r="G36" s="85"/>
      <c r="H36" s="86"/>
    </row>
    <row r="37" spans="1:9" ht="30" customHeight="1" x14ac:dyDescent="0.25">
      <c r="B37" s="83"/>
      <c r="C37" s="83"/>
      <c r="E37" s="84"/>
      <c r="F37" s="85"/>
      <c r="G37" s="85"/>
      <c r="H37" s="86"/>
    </row>
    <row r="38" spans="1:9" ht="30" customHeight="1" x14ac:dyDescent="0.25">
      <c r="B38" s="83"/>
      <c r="C38" s="83"/>
      <c r="E38" s="84"/>
      <c r="F38" s="85"/>
      <c r="G38" s="85"/>
      <c r="H38" s="86"/>
    </row>
    <row r="39" spans="1:9" ht="30" customHeight="1" x14ac:dyDescent="0.25">
      <c r="B39" s="83"/>
      <c r="C39" s="83"/>
      <c r="E39" s="84"/>
      <c r="F39" s="85"/>
      <c r="G39" s="85"/>
      <c r="H39" s="86"/>
    </row>
    <row r="40" spans="1:9" ht="30" customHeight="1" x14ac:dyDescent="0.25">
      <c r="B40" s="83"/>
      <c r="C40" s="83"/>
      <c r="E40" s="84"/>
      <c r="F40" s="85"/>
      <c r="G40" s="85"/>
      <c r="H40" s="86"/>
    </row>
    <row r="41" spans="1:9" ht="30" customHeight="1" x14ac:dyDescent="0.2">
      <c r="B41" s="83"/>
      <c r="C41" s="88"/>
      <c r="D41" s="292" t="s">
        <v>101</v>
      </c>
      <c r="E41" s="292"/>
      <c r="F41" s="292"/>
      <c r="G41" s="89"/>
      <c r="H41" s="90"/>
    </row>
    <row r="42" spans="1:9" ht="12.75" customHeight="1" x14ac:dyDescent="0.2"/>
    <row r="43" spans="1:9" ht="12.75" x14ac:dyDescent="0.2">
      <c r="A43" s="92"/>
      <c r="B43" s="91" t="s">
        <v>102</v>
      </c>
      <c r="C43" s="92"/>
      <c r="D43" s="92"/>
      <c r="E43" s="300" t="s">
        <v>103</v>
      </c>
      <c r="F43" s="300"/>
      <c r="G43" s="300"/>
      <c r="H43" s="300"/>
      <c r="I43" s="106"/>
    </row>
    <row r="44" spans="1:9" ht="14.25" customHeight="1" x14ac:dyDescent="0.2">
      <c r="A44" s="92"/>
      <c r="B44" s="94" t="s">
        <v>104</v>
      </c>
      <c r="C44" s="53"/>
      <c r="D44" s="53"/>
      <c r="E44" s="283">
        <f>H33</f>
        <v>85.8</v>
      </c>
      <c r="F44" s="283"/>
      <c r="G44" s="283"/>
      <c r="H44" s="283"/>
      <c r="I44" s="106"/>
    </row>
    <row r="45" spans="1:9" ht="14.25" x14ac:dyDescent="0.2">
      <c r="A45" s="53"/>
      <c r="B45" s="94" t="s">
        <v>105</v>
      </c>
      <c r="C45" s="53"/>
      <c r="D45" s="53"/>
      <c r="E45" s="283"/>
      <c r="F45" s="283"/>
      <c r="G45" s="283"/>
      <c r="H45" s="283"/>
      <c r="I45" s="106"/>
    </row>
    <row r="46" spans="1:9" ht="14.25" x14ac:dyDescent="0.2">
      <c r="A46" s="53"/>
      <c r="B46" s="94" t="s">
        <v>106</v>
      </c>
      <c r="C46" s="53"/>
      <c r="D46" s="53"/>
      <c r="E46" s="95"/>
      <c r="F46" s="95"/>
      <c r="G46" s="95"/>
      <c r="H46" s="95"/>
      <c r="I46" s="95"/>
    </row>
    <row r="47" spans="1:9" ht="14.25" x14ac:dyDescent="0.2">
      <c r="A47" s="53"/>
      <c r="B47" s="94" t="s">
        <v>107</v>
      </c>
      <c r="C47" s="96"/>
      <c r="D47" s="96"/>
      <c r="E47" s="97"/>
      <c r="F47" s="97"/>
      <c r="G47" s="97"/>
      <c r="H47" s="97"/>
      <c r="I47" s="95"/>
    </row>
    <row r="48" spans="1:9" ht="53.25" customHeight="1" x14ac:dyDescent="0.2">
      <c r="B48" s="284"/>
      <c r="C48" s="278"/>
      <c r="D48" s="278"/>
      <c r="E48" s="278"/>
      <c r="F48" s="278"/>
      <c r="G48" s="278"/>
      <c r="H48" s="278"/>
    </row>
    <row r="52" spans="6:7" ht="15.75" customHeight="1" x14ac:dyDescent="0.2">
      <c r="F52" s="62"/>
      <c r="G52" s="62"/>
    </row>
    <row r="53" spans="6:7" ht="15.75" customHeight="1" x14ac:dyDescent="0.2">
      <c r="F53" s="62"/>
      <c r="G53" s="62"/>
    </row>
    <row r="54" spans="6:7" ht="15.75" customHeight="1" x14ac:dyDescent="0.2">
      <c r="F54" s="62"/>
      <c r="G54" s="62"/>
    </row>
    <row r="57" spans="6:7" ht="15.75" customHeight="1" x14ac:dyDescent="0.2">
      <c r="F57" s="62"/>
      <c r="G57" s="62"/>
    </row>
    <row r="59" spans="6:7" ht="15.75" customHeight="1" x14ac:dyDescent="0.2">
      <c r="F59" s="62"/>
      <c r="G59" s="62"/>
    </row>
  </sheetData>
  <mergeCells count="21">
    <mergeCell ref="E43:H43"/>
    <mergeCell ref="E44:H45"/>
    <mergeCell ref="B48:H48"/>
    <mergeCell ref="C28:D28"/>
    <mergeCell ref="C29:D29"/>
    <mergeCell ref="C30:D30"/>
    <mergeCell ref="C32:D32"/>
    <mergeCell ref="C33:D33"/>
    <mergeCell ref="D41:F41"/>
    <mergeCell ref="C27:D27"/>
    <mergeCell ref="E3:H3"/>
    <mergeCell ref="B4:D6"/>
    <mergeCell ref="E4:H4"/>
    <mergeCell ref="E5:H5"/>
    <mergeCell ref="E6:H6"/>
    <mergeCell ref="B9:H9"/>
    <mergeCell ref="B18:E18"/>
    <mergeCell ref="B19:E19"/>
    <mergeCell ref="B20:E20"/>
    <mergeCell ref="B23:E23"/>
    <mergeCell ref="B24:H24"/>
  </mergeCells>
  <conditionalFormatting sqref="B26">
    <cfRule type="notContainsBlanks" dxfId="36" priority="1">
      <formula>LEN(TRIM(B26))&gt;0</formula>
    </cfRule>
  </conditionalFormatting>
  <hyperlinks>
    <hyperlink ref="B12" r:id="rId1" xr:uid="{427FAA08-260A-4B8F-B5FA-10F7417A35E8}"/>
  </hyperlinks>
  <printOptions horizontalCentered="1" verticalCentered="1"/>
  <pageMargins left="0.13" right="7.0000000000000007E-2" top="0.19685039370078741" bottom="0.19685039370078741" header="0.31496062992125984" footer="0.31496062992125984"/>
  <pageSetup paperSize="9" scale="82" orientation="portrait" r:id="rId2"/>
  <drawing r:id="rId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C3D10-9A62-429A-A1B7-D68BCEEA33D3}">
  <sheetPr codeName="Sheet24">
    <tabColor theme="4" tint="-0.249977111117893"/>
    <outlinePr summaryBelow="0" summaryRight="0"/>
    <pageSetUpPr fitToPage="1"/>
  </sheetPr>
  <dimension ref="A1:K59"/>
  <sheetViews>
    <sheetView showGridLines="0" topLeftCell="A7" zoomScale="130" zoomScaleNormal="130" workbookViewId="0">
      <selection activeCell="H11" sqref="H11"/>
    </sheetView>
  </sheetViews>
  <sheetFormatPr defaultColWidth="14.42578125" defaultRowHeight="15.75" customHeight="1" x14ac:dyDescent="0.2"/>
  <cols>
    <col min="1" max="1" width="5.42578125" style="55" customWidth="1"/>
    <col min="2" max="3" width="14.42578125" style="55"/>
    <col min="4" max="4" width="23.140625" style="55" customWidth="1"/>
    <col min="5" max="5" width="18.140625" style="55" bestFit="1" customWidth="1"/>
    <col min="6" max="6" width="16.42578125" style="55" customWidth="1"/>
    <col min="7" max="7" width="12.7109375" style="55" customWidth="1"/>
    <col min="8" max="8" width="17" style="55" bestFit="1" customWidth="1"/>
    <col min="9" max="9" width="3.85546875" style="55" customWidth="1"/>
    <col min="10" max="16384" width="14.42578125" style="55"/>
  </cols>
  <sheetData>
    <row r="1" spans="1:10" ht="39" customHeight="1" x14ac:dyDescent="0.2">
      <c r="A1" s="54"/>
      <c r="B1" s="54"/>
      <c r="C1" s="54"/>
      <c r="D1" s="54"/>
      <c r="E1" s="54"/>
      <c r="F1" s="54"/>
      <c r="G1" s="54"/>
      <c r="H1" s="54"/>
      <c r="I1" s="54"/>
    </row>
    <row r="2" spans="1:10" x14ac:dyDescent="0.25">
      <c r="A2" s="54"/>
      <c r="B2" s="56"/>
      <c r="C2" s="56"/>
      <c r="D2" s="56"/>
      <c r="E2" s="57"/>
      <c r="F2" s="57"/>
      <c r="G2" s="57"/>
      <c r="H2" s="57"/>
      <c r="I2" s="56"/>
    </row>
    <row r="3" spans="1:10" ht="12.75" x14ac:dyDescent="0.2">
      <c r="A3" s="54"/>
      <c r="B3" s="56"/>
      <c r="C3" s="56"/>
      <c r="D3" s="56"/>
      <c r="E3" s="273"/>
      <c r="F3" s="274"/>
      <c r="G3" s="274"/>
      <c r="H3" s="274"/>
      <c r="I3" s="56"/>
    </row>
    <row r="4" spans="1:10" ht="12.75" x14ac:dyDescent="0.2">
      <c r="A4" s="54"/>
      <c r="B4" s="275" t="s">
        <v>83</v>
      </c>
      <c r="C4" s="276"/>
      <c r="D4" s="276"/>
      <c r="E4" s="277"/>
      <c r="F4" s="274"/>
      <c r="G4" s="274"/>
      <c r="H4" s="274"/>
      <c r="I4" s="56"/>
    </row>
    <row r="5" spans="1:10" ht="12.75" x14ac:dyDescent="0.2">
      <c r="A5" s="54"/>
      <c r="B5" s="276"/>
      <c r="C5" s="276"/>
      <c r="D5" s="276"/>
      <c r="E5" s="277"/>
      <c r="F5" s="274"/>
      <c r="G5" s="274"/>
      <c r="H5" s="274"/>
      <c r="I5" s="56"/>
    </row>
    <row r="6" spans="1:10" ht="12.75" x14ac:dyDescent="0.2">
      <c r="A6" s="54"/>
      <c r="B6" s="276"/>
      <c r="C6" s="276"/>
      <c r="D6" s="276"/>
      <c r="E6" s="277"/>
      <c r="F6" s="274"/>
      <c r="G6" s="274"/>
      <c r="H6" s="274"/>
      <c r="I6" s="56"/>
    </row>
    <row r="7" spans="1:10" ht="36.75" customHeight="1" x14ac:dyDescent="0.2">
      <c r="A7" s="54"/>
      <c r="B7" s="54"/>
      <c r="C7" s="54"/>
      <c r="D7" s="54"/>
      <c r="E7" s="54"/>
      <c r="F7" s="54"/>
      <c r="G7" s="54"/>
      <c r="H7" s="54"/>
      <c r="I7" s="54"/>
    </row>
    <row r="8" spans="1:10" ht="21.75" customHeight="1" x14ac:dyDescent="0.2">
      <c r="A8" s="58"/>
      <c r="B8" s="58"/>
      <c r="C8" s="58"/>
      <c r="D8" s="58"/>
      <c r="E8" s="58"/>
      <c r="F8" s="58"/>
      <c r="G8" s="58"/>
      <c r="H8" s="58"/>
      <c r="I8" s="58"/>
      <c r="J8" s="59"/>
    </row>
    <row r="9" spans="1:10" ht="15.75" customHeight="1" x14ac:dyDescent="0.2">
      <c r="B9" s="278"/>
      <c r="C9" s="278"/>
      <c r="D9" s="278"/>
      <c r="E9" s="278"/>
      <c r="F9" s="278"/>
      <c r="G9" s="278"/>
      <c r="H9" s="278"/>
    </row>
    <row r="10" spans="1:10" ht="15" customHeight="1" x14ac:dyDescent="0.2">
      <c r="A10" s="98"/>
      <c r="B10" s="60" t="s">
        <v>84</v>
      </c>
      <c r="G10" s="60"/>
      <c r="H10" s="61" t="s">
        <v>85</v>
      </c>
    </row>
    <row r="11" spans="1:10" ht="14.25" x14ac:dyDescent="0.2">
      <c r="A11" s="98"/>
      <c r="B11" s="62" t="s">
        <v>86</v>
      </c>
      <c r="G11" s="62"/>
      <c r="H11" s="63" t="str">
        <f>"OJ"&amp;J11</f>
        <v>OJ1013</v>
      </c>
      <c r="J11" s="55">
        <v>1013</v>
      </c>
    </row>
    <row r="12" spans="1:10" ht="15" x14ac:dyDescent="0.2">
      <c r="A12" s="98"/>
      <c r="B12" s="62" t="s">
        <v>87</v>
      </c>
      <c r="G12" s="60"/>
      <c r="H12" s="61" t="s">
        <v>88</v>
      </c>
      <c r="J12" s="55">
        <v>7</v>
      </c>
    </row>
    <row r="13" spans="1:10" ht="14.25" x14ac:dyDescent="0.2">
      <c r="A13" s="98"/>
      <c r="B13" s="62"/>
      <c r="F13" s="107"/>
      <c r="G13" s="64"/>
      <c r="H13" s="65">
        <v>44951</v>
      </c>
    </row>
    <row r="14" spans="1:10" ht="15" x14ac:dyDescent="0.2">
      <c r="A14" s="98"/>
      <c r="G14" s="60"/>
      <c r="H14" s="61" t="s">
        <v>89</v>
      </c>
    </row>
    <row r="15" spans="1:10" ht="14.25" x14ac:dyDescent="0.2">
      <c r="A15" s="98"/>
      <c r="G15" s="64"/>
      <c r="H15" s="65">
        <f>H13+J12</f>
        <v>44958</v>
      </c>
    </row>
    <row r="16" spans="1:10" ht="14.25" x14ac:dyDescent="0.2">
      <c r="A16" s="98"/>
      <c r="B16" s="62"/>
      <c r="F16" s="65"/>
      <c r="G16" s="65"/>
      <c r="H16" s="65"/>
    </row>
    <row r="17" spans="1:11" ht="14.25" x14ac:dyDescent="0.2">
      <c r="A17" s="98"/>
      <c r="F17" s="65"/>
      <c r="G17" s="65"/>
      <c r="H17" s="66"/>
    </row>
    <row r="18" spans="1:11" ht="22.5" customHeight="1" x14ac:dyDescent="0.2">
      <c r="A18" s="98"/>
      <c r="B18" s="279" t="s">
        <v>90</v>
      </c>
      <c r="C18" s="280"/>
      <c r="D18" s="280"/>
      <c r="E18" s="280"/>
      <c r="F18" s="65"/>
      <c r="G18" s="65"/>
      <c r="H18" s="66"/>
      <c r="K18" s="55" t="s">
        <v>180</v>
      </c>
    </row>
    <row r="19" spans="1:11" ht="15" x14ac:dyDescent="0.2">
      <c r="A19" s="98"/>
      <c r="B19" s="279" t="s">
        <v>181</v>
      </c>
      <c r="C19" s="280"/>
      <c r="D19" s="280"/>
      <c r="E19" s="280"/>
      <c r="F19" s="65"/>
      <c r="G19" s="65"/>
      <c r="H19" s="66"/>
    </row>
    <row r="20" spans="1:11" ht="14.25" x14ac:dyDescent="0.2">
      <c r="A20" s="98"/>
      <c r="B20" s="281"/>
      <c r="C20" s="280"/>
      <c r="D20" s="280"/>
      <c r="E20" s="280"/>
      <c r="F20" s="65"/>
      <c r="G20" s="65"/>
      <c r="H20" s="66"/>
    </row>
    <row r="21" spans="1:11" ht="14.25" x14ac:dyDescent="0.2">
      <c r="A21" s="98"/>
      <c r="B21" s="62"/>
      <c r="C21" s="67"/>
      <c r="D21" s="67"/>
      <c r="E21" s="67"/>
      <c r="F21" s="65"/>
      <c r="G21" s="65"/>
      <c r="H21" s="66"/>
    </row>
    <row r="22" spans="1:11" ht="14.25" x14ac:dyDescent="0.2">
      <c r="A22" s="98"/>
      <c r="B22" s="62"/>
      <c r="C22" s="67"/>
      <c r="D22" s="67"/>
      <c r="E22" s="67"/>
      <c r="F22" s="65"/>
      <c r="G22" s="65"/>
      <c r="H22" s="66"/>
    </row>
    <row r="23" spans="1:11" ht="22.5" customHeight="1" x14ac:dyDescent="0.2">
      <c r="A23" s="98"/>
      <c r="B23" s="282"/>
      <c r="C23" s="280"/>
      <c r="D23" s="280"/>
      <c r="E23" s="280"/>
      <c r="F23" s="67"/>
      <c r="G23" s="67"/>
      <c r="H23" s="67"/>
    </row>
    <row r="24" spans="1:11" ht="27.75" customHeight="1" x14ac:dyDescent="0.2">
      <c r="B24" s="280"/>
      <c r="C24" s="280"/>
      <c r="D24" s="280"/>
      <c r="E24" s="280"/>
      <c r="F24" s="280"/>
      <c r="G24" s="280"/>
      <c r="H24" s="280"/>
    </row>
    <row r="25" spans="1:11" ht="27.75" customHeight="1" x14ac:dyDescent="0.2">
      <c r="B25" s="67"/>
      <c r="C25" s="67"/>
      <c r="D25" s="67"/>
      <c r="E25" s="67"/>
      <c r="F25" s="67"/>
      <c r="G25" s="67"/>
      <c r="H25" s="67"/>
    </row>
    <row r="26" spans="1:11" ht="15.75" customHeight="1" x14ac:dyDescent="0.2">
      <c r="B26" s="67"/>
      <c r="C26" s="67"/>
      <c r="D26" s="67"/>
      <c r="E26" s="67"/>
      <c r="F26" s="67"/>
      <c r="G26" s="67"/>
      <c r="H26" s="67"/>
    </row>
    <row r="27" spans="1:11" ht="15" x14ac:dyDescent="0.25">
      <c r="B27" s="68" t="s">
        <v>88</v>
      </c>
      <c r="C27" s="272" t="s">
        <v>92</v>
      </c>
      <c r="D27" s="272"/>
      <c r="E27" s="70" t="s">
        <v>93</v>
      </c>
      <c r="F27" s="70" t="s">
        <v>94</v>
      </c>
      <c r="G27" s="70" t="s">
        <v>18</v>
      </c>
      <c r="H27" s="70" t="s">
        <v>121</v>
      </c>
    </row>
    <row r="28" spans="1:11" ht="35.25" customHeight="1" x14ac:dyDescent="0.2">
      <c r="B28" s="71">
        <v>44950</v>
      </c>
      <c r="C28" s="293" t="s">
        <v>182</v>
      </c>
      <c r="D28" s="299"/>
      <c r="E28" s="117">
        <v>40</v>
      </c>
      <c r="F28" s="118">
        <v>2</v>
      </c>
      <c r="G28" s="119">
        <v>0.1</v>
      </c>
      <c r="H28" s="117">
        <f>E28*F28</f>
        <v>80</v>
      </c>
    </row>
    <row r="29" spans="1:11" ht="15.75" customHeight="1" x14ac:dyDescent="0.2">
      <c r="B29" s="76"/>
      <c r="C29" s="286"/>
      <c r="D29" s="287"/>
      <c r="E29" s="109"/>
      <c r="F29" s="110"/>
      <c r="G29" s="110"/>
      <c r="H29" s="111"/>
    </row>
    <row r="30" spans="1:11" ht="30" customHeight="1" x14ac:dyDescent="0.2">
      <c r="B30" s="72"/>
      <c r="C30" s="290"/>
      <c r="D30" s="280"/>
      <c r="E30" s="63"/>
      <c r="F30" s="79" t="s">
        <v>97</v>
      </c>
      <c r="G30" s="79"/>
      <c r="H30" s="80">
        <f>SUM(H28:H29)</f>
        <v>80</v>
      </c>
    </row>
    <row r="31" spans="1:11" ht="30" customHeight="1" x14ac:dyDescent="0.2">
      <c r="B31" s="72"/>
      <c r="C31" s="72"/>
      <c r="D31" s="67"/>
      <c r="E31" s="63"/>
      <c r="F31" s="79" t="s">
        <v>125</v>
      </c>
      <c r="G31" s="79"/>
      <c r="H31" s="80">
        <f>G28*H30</f>
        <v>8</v>
      </c>
    </row>
    <row r="32" spans="1:11" ht="30" customHeight="1" x14ac:dyDescent="0.2">
      <c r="B32" s="72"/>
      <c r="C32" s="290"/>
      <c r="D32" s="280"/>
      <c r="E32" s="63"/>
      <c r="F32" s="81" t="s">
        <v>99</v>
      </c>
      <c r="G32" s="81"/>
      <c r="H32" s="82">
        <v>0</v>
      </c>
    </row>
    <row r="33" spans="1:9" ht="30" customHeight="1" x14ac:dyDescent="0.25">
      <c r="B33" s="83"/>
      <c r="C33" s="291"/>
      <c r="D33" s="278"/>
      <c r="E33" s="84"/>
      <c r="F33" s="85" t="s">
        <v>100</v>
      </c>
      <c r="G33" s="85"/>
      <c r="H33" s="86">
        <f>SUM(H30:H32)</f>
        <v>88</v>
      </c>
    </row>
    <row r="34" spans="1:9" ht="30" customHeight="1" x14ac:dyDescent="0.25">
      <c r="B34" s="83"/>
      <c r="C34" s="83"/>
      <c r="E34" s="84"/>
      <c r="F34" s="85"/>
      <c r="G34" s="85"/>
      <c r="H34" s="87"/>
    </row>
    <row r="35" spans="1:9" ht="30" customHeight="1" x14ac:dyDescent="0.25">
      <c r="B35" s="83"/>
      <c r="C35" s="83"/>
      <c r="E35" s="84"/>
      <c r="F35" s="85"/>
      <c r="G35" s="85"/>
      <c r="H35" s="86"/>
    </row>
    <row r="36" spans="1:9" ht="30" customHeight="1" x14ac:dyDescent="0.25">
      <c r="B36" s="83"/>
      <c r="C36" s="83"/>
      <c r="E36" s="84"/>
      <c r="F36" s="85"/>
      <c r="G36" s="85"/>
      <c r="H36" s="86"/>
    </row>
    <row r="37" spans="1:9" ht="30" customHeight="1" x14ac:dyDescent="0.25">
      <c r="B37" s="83"/>
      <c r="C37" s="83"/>
      <c r="E37" s="84"/>
      <c r="F37" s="85"/>
      <c r="G37" s="85"/>
      <c r="H37" s="86"/>
    </row>
    <row r="38" spans="1:9" ht="30" customHeight="1" x14ac:dyDescent="0.25">
      <c r="B38" s="83"/>
      <c r="C38" s="83"/>
      <c r="E38" s="84"/>
      <c r="F38" s="85"/>
      <c r="G38" s="85"/>
      <c r="H38" s="86"/>
    </row>
    <row r="39" spans="1:9" ht="30" customHeight="1" x14ac:dyDescent="0.25">
      <c r="B39" s="83"/>
      <c r="C39" s="83"/>
      <c r="E39" s="84"/>
      <c r="F39" s="85"/>
      <c r="G39" s="85"/>
      <c r="H39" s="86"/>
    </row>
    <row r="40" spans="1:9" ht="30" customHeight="1" x14ac:dyDescent="0.25">
      <c r="B40" s="83"/>
      <c r="C40" s="83"/>
      <c r="E40" s="84"/>
      <c r="F40" s="85"/>
      <c r="G40" s="85"/>
      <c r="H40" s="86"/>
    </row>
    <row r="41" spans="1:9" ht="30" customHeight="1" x14ac:dyDescent="0.2">
      <c r="B41" s="83"/>
      <c r="C41" s="88"/>
      <c r="D41" s="292" t="s">
        <v>101</v>
      </c>
      <c r="E41" s="292"/>
      <c r="F41" s="292"/>
      <c r="G41" s="89"/>
      <c r="H41" s="90"/>
    </row>
    <row r="42" spans="1:9" ht="12.75" customHeight="1" x14ac:dyDescent="0.2"/>
    <row r="43" spans="1:9" ht="12.75" x14ac:dyDescent="0.2">
      <c r="A43" s="92"/>
      <c r="B43" s="91" t="s">
        <v>102</v>
      </c>
      <c r="C43" s="92"/>
      <c r="D43" s="92"/>
      <c r="E43" s="120"/>
      <c r="F43" s="121"/>
      <c r="G43" s="121"/>
      <c r="H43" s="93" t="s">
        <v>103</v>
      </c>
      <c r="I43" s="122"/>
    </row>
    <row r="44" spans="1:9" ht="14.25" customHeight="1" x14ac:dyDescent="0.2">
      <c r="A44" s="92"/>
      <c r="B44" s="94" t="s">
        <v>104</v>
      </c>
      <c r="C44" s="53"/>
      <c r="D44" s="53"/>
      <c r="E44" s="120"/>
      <c r="F44" s="120"/>
      <c r="G44" s="283">
        <f>H33</f>
        <v>88</v>
      </c>
      <c r="H44" s="283"/>
      <c r="I44" s="122"/>
    </row>
    <row r="45" spans="1:9" ht="14.25" customHeight="1" x14ac:dyDescent="0.2">
      <c r="A45" s="53"/>
      <c r="B45" s="94" t="s">
        <v>106</v>
      </c>
      <c r="C45" s="53"/>
      <c r="D45" s="53"/>
      <c r="E45" s="120"/>
      <c r="F45" s="120"/>
      <c r="G45" s="283"/>
      <c r="H45" s="283"/>
      <c r="I45" s="122"/>
    </row>
    <row r="46" spans="1:9" ht="14.25" x14ac:dyDescent="0.2">
      <c r="A46" s="53"/>
      <c r="B46" s="94" t="s">
        <v>107</v>
      </c>
      <c r="C46" s="53"/>
      <c r="D46" s="53"/>
      <c r="E46" s="95"/>
      <c r="F46" s="95"/>
      <c r="G46" s="95"/>
      <c r="H46" s="95"/>
      <c r="I46" s="95"/>
    </row>
    <row r="47" spans="1:9" ht="14.25" x14ac:dyDescent="0.2">
      <c r="A47" s="53"/>
      <c r="B47" s="94" t="s">
        <v>114</v>
      </c>
      <c r="C47" s="96"/>
      <c r="D47" s="96"/>
      <c r="E47" s="97"/>
      <c r="F47" s="97"/>
      <c r="G47" s="97"/>
      <c r="H47" s="97"/>
      <c r="I47" s="95"/>
    </row>
    <row r="48" spans="1:9" ht="53.25" customHeight="1" x14ac:dyDescent="0.2">
      <c r="B48" s="284"/>
      <c r="C48" s="278"/>
      <c r="D48" s="278"/>
      <c r="E48" s="278"/>
      <c r="F48" s="278"/>
      <c r="G48" s="278"/>
      <c r="H48" s="278"/>
    </row>
    <row r="52" spans="6:7" ht="15.75" customHeight="1" x14ac:dyDescent="0.2">
      <c r="F52" s="62"/>
      <c r="G52" s="62"/>
    </row>
    <row r="53" spans="6:7" ht="15.75" customHeight="1" x14ac:dyDescent="0.2">
      <c r="F53" s="62"/>
      <c r="G53" s="62"/>
    </row>
    <row r="54" spans="6:7" ht="15.75" customHeight="1" x14ac:dyDescent="0.2">
      <c r="F54" s="62"/>
      <c r="G54" s="62"/>
    </row>
    <row r="57" spans="6:7" ht="15.75" customHeight="1" x14ac:dyDescent="0.2">
      <c r="F57" s="62"/>
      <c r="G57" s="62"/>
    </row>
    <row r="59" spans="6:7" ht="15.75" customHeight="1" x14ac:dyDescent="0.2">
      <c r="F59" s="62"/>
      <c r="G59" s="62"/>
    </row>
  </sheetData>
  <mergeCells count="20">
    <mergeCell ref="G44:H45"/>
    <mergeCell ref="B48:H48"/>
    <mergeCell ref="C28:D28"/>
    <mergeCell ref="C29:D29"/>
    <mergeCell ref="C30:D30"/>
    <mergeCell ref="C32:D32"/>
    <mergeCell ref="C33:D33"/>
    <mergeCell ref="D41:F41"/>
    <mergeCell ref="C27:D27"/>
    <mergeCell ref="E3:H3"/>
    <mergeCell ref="B4:D6"/>
    <mergeCell ref="E4:H4"/>
    <mergeCell ref="E5:H5"/>
    <mergeCell ref="E6:H6"/>
    <mergeCell ref="B9:H9"/>
    <mergeCell ref="B18:E18"/>
    <mergeCell ref="B19:E19"/>
    <mergeCell ref="B20:E20"/>
    <mergeCell ref="B23:E23"/>
    <mergeCell ref="B24:H24"/>
  </mergeCells>
  <conditionalFormatting sqref="B26">
    <cfRule type="notContainsBlanks" dxfId="35" priority="1">
      <formula>LEN(TRIM(B26))&gt;0</formula>
    </cfRule>
  </conditionalFormatting>
  <hyperlinks>
    <hyperlink ref="B12" r:id="rId1" xr:uid="{268DEAED-C1BE-40BC-A2F6-B4083D5BAA10}"/>
  </hyperlinks>
  <printOptions horizontalCentered="1" verticalCentered="1"/>
  <pageMargins left="0.11811023622047245" right="0.15748031496062992" top="0.39370078740157483" bottom="0.31496062992125984" header="0.31496062992125984" footer="0.15748031496062992"/>
  <pageSetup paperSize="9" scale="81" orientation="portrait" r:id="rId2"/>
  <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C4D866-D231-4C36-9240-4E3B021A07ED}">
  <sheetPr codeName="Sheet25">
    <tabColor theme="6" tint="0.79998168889431442"/>
    <outlinePr summaryBelow="0" summaryRight="0"/>
    <pageSetUpPr fitToPage="1"/>
  </sheetPr>
  <dimension ref="A1:J57"/>
  <sheetViews>
    <sheetView showGridLines="0" topLeftCell="A7" zoomScale="120" zoomScaleNormal="120" workbookViewId="0">
      <selection activeCell="H11" sqref="H11"/>
    </sheetView>
  </sheetViews>
  <sheetFormatPr defaultColWidth="14.42578125" defaultRowHeight="15.75" customHeight="1" x14ac:dyDescent="0.2"/>
  <cols>
    <col min="1" max="1" width="2.85546875" style="55" customWidth="1"/>
    <col min="2" max="3" width="14.42578125" style="55"/>
    <col min="4" max="4" width="18.140625" style="55" customWidth="1"/>
    <col min="5" max="5" width="17.28515625" style="55" customWidth="1"/>
    <col min="6" max="6" width="15" style="55" customWidth="1"/>
    <col min="7" max="7" width="9.7109375" style="55" customWidth="1"/>
    <col min="8" max="8" width="13.7109375" style="55" bestFit="1" customWidth="1"/>
    <col min="9" max="9" width="3.28515625" style="55" customWidth="1"/>
    <col min="10" max="16384" width="14.42578125" style="55"/>
  </cols>
  <sheetData>
    <row r="1" spans="1:10" ht="39" customHeight="1" x14ac:dyDescent="0.2">
      <c r="A1" s="54"/>
      <c r="B1" s="54"/>
      <c r="C1" s="54"/>
      <c r="D1" s="54"/>
      <c r="E1" s="54"/>
      <c r="F1" s="54"/>
      <c r="G1" s="54"/>
      <c r="H1" s="54"/>
      <c r="I1" s="54"/>
    </row>
    <row r="2" spans="1:10" x14ac:dyDescent="0.25">
      <c r="A2" s="54"/>
      <c r="B2" s="56"/>
      <c r="C2" s="56"/>
      <c r="D2" s="56"/>
      <c r="E2" s="57"/>
      <c r="F2" s="57"/>
      <c r="G2" s="57"/>
      <c r="H2" s="57"/>
      <c r="I2" s="56"/>
    </row>
    <row r="3" spans="1:10" ht="12.75" x14ac:dyDescent="0.2">
      <c r="A3" s="54"/>
      <c r="B3" s="56"/>
      <c r="C3" s="56"/>
      <c r="D3" s="56"/>
      <c r="E3" s="273"/>
      <c r="F3" s="274"/>
      <c r="G3" s="274"/>
      <c r="H3" s="274"/>
      <c r="I3" s="56"/>
    </row>
    <row r="4" spans="1:10" ht="12.75" x14ac:dyDescent="0.2">
      <c r="A4" s="54"/>
      <c r="B4" s="275" t="s">
        <v>83</v>
      </c>
      <c r="C4" s="276"/>
      <c r="D4" s="276"/>
      <c r="E4" s="277"/>
      <c r="F4" s="274"/>
      <c r="G4" s="274"/>
      <c r="H4" s="274"/>
      <c r="I4" s="56"/>
    </row>
    <row r="5" spans="1:10" ht="12.75" x14ac:dyDescent="0.2">
      <c r="A5" s="54"/>
      <c r="B5" s="276"/>
      <c r="C5" s="276"/>
      <c r="D5" s="276"/>
      <c r="E5" s="277"/>
      <c r="F5" s="274"/>
      <c r="G5" s="274"/>
      <c r="H5" s="274"/>
      <c r="I5" s="56"/>
    </row>
    <row r="6" spans="1:10" ht="12.75" x14ac:dyDescent="0.2">
      <c r="A6" s="54"/>
      <c r="B6" s="276"/>
      <c r="C6" s="276"/>
      <c r="D6" s="276"/>
      <c r="E6" s="277"/>
      <c r="F6" s="274"/>
      <c r="G6" s="274"/>
      <c r="H6" s="274"/>
      <c r="I6" s="56"/>
    </row>
    <row r="7" spans="1:10" ht="36.75" customHeight="1" x14ac:dyDescent="0.2">
      <c r="A7" s="54"/>
      <c r="B7" s="54"/>
      <c r="C7" s="54"/>
      <c r="D7" s="54"/>
      <c r="E7" s="54"/>
      <c r="F7" s="54"/>
      <c r="G7" s="54"/>
      <c r="H7" s="54"/>
      <c r="I7" s="54"/>
    </row>
    <row r="8" spans="1:10" ht="12.75" x14ac:dyDescent="0.2">
      <c r="A8" s="58"/>
      <c r="B8" s="58"/>
      <c r="C8" s="58"/>
      <c r="D8" s="58"/>
      <c r="E8" s="58"/>
      <c r="F8" s="58"/>
      <c r="G8" s="58"/>
      <c r="H8" s="58"/>
      <c r="I8" s="58"/>
      <c r="J8" s="59"/>
    </row>
    <row r="9" spans="1:10" ht="12.75" x14ac:dyDescent="0.2">
      <c r="A9" s="58"/>
      <c r="B9" s="58"/>
      <c r="C9" s="58"/>
      <c r="D9" s="58"/>
      <c r="E9" s="58"/>
      <c r="F9" s="58"/>
      <c r="G9" s="58"/>
      <c r="H9" s="58"/>
      <c r="I9" s="58"/>
      <c r="J9" s="59"/>
    </row>
    <row r="10" spans="1:10" ht="15" customHeight="1" x14ac:dyDescent="0.2">
      <c r="A10" s="98"/>
      <c r="B10" s="60" t="s">
        <v>84</v>
      </c>
      <c r="G10" s="60"/>
      <c r="H10" s="61" t="s">
        <v>85</v>
      </c>
    </row>
    <row r="11" spans="1:10" ht="14.25" x14ac:dyDescent="0.2">
      <c r="A11" s="98"/>
      <c r="B11" s="62" t="s">
        <v>86</v>
      </c>
      <c r="G11" s="62"/>
      <c r="H11" s="63" t="str">
        <f>"AR"&amp;J11</f>
        <v>AR43</v>
      </c>
      <c r="J11" s="55">
        <v>43</v>
      </c>
    </row>
    <row r="12" spans="1:10" ht="15" x14ac:dyDescent="0.2">
      <c r="A12" s="98"/>
      <c r="B12" s="62" t="s">
        <v>87</v>
      </c>
      <c r="G12" s="60"/>
      <c r="H12" s="61" t="s">
        <v>88</v>
      </c>
      <c r="J12" s="55">
        <v>7</v>
      </c>
    </row>
    <row r="13" spans="1:10" ht="14.25" x14ac:dyDescent="0.2">
      <c r="A13" s="98"/>
      <c r="B13" s="62"/>
      <c r="F13" s="107"/>
      <c r="G13" s="64"/>
      <c r="H13" s="65">
        <v>44945</v>
      </c>
    </row>
    <row r="14" spans="1:10" ht="15" x14ac:dyDescent="0.2">
      <c r="A14" s="98"/>
      <c r="G14" s="60"/>
      <c r="H14" s="131" t="s">
        <v>89</v>
      </c>
    </row>
    <row r="15" spans="1:10" ht="14.25" x14ac:dyDescent="0.2">
      <c r="A15" s="98"/>
      <c r="G15" s="64"/>
      <c r="H15" s="65">
        <f>H13+J12</f>
        <v>44952</v>
      </c>
    </row>
    <row r="16" spans="1:10" ht="14.25" x14ac:dyDescent="0.2">
      <c r="A16" s="98"/>
      <c r="B16" s="62"/>
      <c r="G16" s="65"/>
      <c r="H16" s="65"/>
    </row>
    <row r="17" spans="1:8" ht="14.25" x14ac:dyDescent="0.2">
      <c r="A17" s="98"/>
      <c r="F17" s="65"/>
      <c r="G17" s="65"/>
      <c r="H17" s="66"/>
    </row>
    <row r="18" spans="1:8" ht="22.5" customHeight="1" x14ac:dyDescent="0.2">
      <c r="A18" s="98"/>
      <c r="B18" s="279" t="s">
        <v>90</v>
      </c>
      <c r="C18" s="280"/>
      <c r="D18" s="280"/>
      <c r="E18" s="280"/>
      <c r="F18" s="65"/>
      <c r="G18" s="65"/>
      <c r="H18" s="66"/>
    </row>
    <row r="19" spans="1:8" ht="15" x14ac:dyDescent="0.2">
      <c r="A19" s="98"/>
      <c r="B19" s="295" t="s">
        <v>183</v>
      </c>
      <c r="C19" s="296"/>
      <c r="D19" s="296"/>
      <c r="E19" s="296"/>
      <c r="F19" s="65"/>
      <c r="G19" s="65"/>
      <c r="H19" s="66"/>
    </row>
    <row r="20" spans="1:8" ht="14.25" x14ac:dyDescent="0.2">
      <c r="A20" s="98"/>
      <c r="B20" s="297" t="s">
        <v>184</v>
      </c>
      <c r="C20" s="296"/>
      <c r="D20" s="296"/>
      <c r="E20" s="296"/>
      <c r="F20" s="65"/>
      <c r="G20" s="65"/>
      <c r="H20" s="66"/>
    </row>
    <row r="21" spans="1:8" ht="14.25" x14ac:dyDescent="0.2">
      <c r="A21" s="98"/>
      <c r="B21" s="62"/>
      <c r="C21" s="67"/>
      <c r="D21" s="67"/>
      <c r="E21" s="67"/>
      <c r="F21" s="65"/>
      <c r="G21" s="65"/>
      <c r="H21" s="66"/>
    </row>
    <row r="22" spans="1:8" ht="14.25" x14ac:dyDescent="0.2">
      <c r="A22" s="98"/>
      <c r="B22" s="62"/>
      <c r="C22" s="67"/>
      <c r="D22" s="67"/>
      <c r="E22" s="67"/>
      <c r="F22" s="65"/>
      <c r="G22" s="65"/>
      <c r="H22" s="66"/>
    </row>
    <row r="23" spans="1:8" ht="22.5" customHeight="1" x14ac:dyDescent="0.2">
      <c r="A23" s="98"/>
      <c r="B23" s="282"/>
      <c r="C23" s="280"/>
      <c r="D23" s="280"/>
      <c r="E23" s="280"/>
      <c r="F23" s="67"/>
      <c r="G23" s="67"/>
      <c r="H23" s="67"/>
    </row>
    <row r="24" spans="1:8" ht="27.75" customHeight="1" x14ac:dyDescent="0.2">
      <c r="B24" s="280"/>
      <c r="C24" s="280"/>
      <c r="D24" s="280"/>
      <c r="E24" s="280"/>
      <c r="F24" s="280"/>
      <c r="G24" s="280"/>
      <c r="H24" s="280"/>
    </row>
    <row r="25" spans="1:8" ht="14.25" x14ac:dyDescent="0.2">
      <c r="B25" s="67"/>
      <c r="C25" s="67"/>
      <c r="D25" s="67"/>
      <c r="E25" s="67"/>
      <c r="F25" s="67"/>
      <c r="G25" s="67"/>
      <c r="H25" s="67"/>
    </row>
    <row r="26" spans="1:8" ht="15.75" customHeight="1" x14ac:dyDescent="0.2">
      <c r="B26" s="67"/>
      <c r="C26" s="67"/>
      <c r="D26" s="67"/>
      <c r="E26" s="67"/>
      <c r="F26" s="67"/>
      <c r="G26" s="67"/>
      <c r="H26" s="67"/>
    </row>
    <row r="27" spans="1:8" ht="15" x14ac:dyDescent="0.25">
      <c r="B27" s="68" t="s">
        <v>88</v>
      </c>
      <c r="C27" s="272" t="s">
        <v>92</v>
      </c>
      <c r="D27" s="272"/>
      <c r="E27" s="70" t="s">
        <v>93</v>
      </c>
      <c r="F27" s="70" t="s">
        <v>129</v>
      </c>
      <c r="G27" s="70" t="s">
        <v>18</v>
      </c>
      <c r="H27" s="70" t="s">
        <v>95</v>
      </c>
    </row>
    <row r="28" spans="1:8" ht="31.5" customHeight="1" x14ac:dyDescent="0.2">
      <c r="B28" s="71">
        <v>44944</v>
      </c>
      <c r="C28" s="293" t="s">
        <v>122</v>
      </c>
      <c r="D28" s="294"/>
      <c r="E28" s="99">
        <v>38</v>
      </c>
      <c r="F28" s="108">
        <v>2</v>
      </c>
      <c r="G28" s="101">
        <v>0.1</v>
      </c>
      <c r="H28" s="99">
        <f>E28*F28</f>
        <v>76</v>
      </c>
    </row>
    <row r="29" spans="1:8" ht="19.5" customHeight="1" x14ac:dyDescent="0.2">
      <c r="B29" s="102"/>
      <c r="C29" s="286"/>
      <c r="D29" s="287"/>
      <c r="E29" s="77"/>
      <c r="F29" s="103"/>
      <c r="G29" s="103"/>
      <c r="H29" s="77"/>
    </row>
    <row r="30" spans="1:8" ht="30" customHeight="1" x14ac:dyDescent="0.2">
      <c r="B30" s="72"/>
      <c r="C30" s="290"/>
      <c r="D30" s="280"/>
      <c r="E30" s="63"/>
      <c r="F30" s="79"/>
      <c r="G30" s="79" t="s">
        <v>97</v>
      </c>
      <c r="H30" s="80">
        <f>SUM(H28:H29)</f>
        <v>76</v>
      </c>
    </row>
    <row r="31" spans="1:8" ht="30" customHeight="1" x14ac:dyDescent="0.2">
      <c r="B31" s="72"/>
      <c r="C31" s="72"/>
      <c r="D31" s="67"/>
      <c r="E31" s="63"/>
      <c r="F31" s="79"/>
      <c r="G31" s="79" t="s">
        <v>113</v>
      </c>
      <c r="H31" s="80">
        <f>H30*0.1</f>
        <v>7.6000000000000005</v>
      </c>
    </row>
    <row r="32" spans="1:8" ht="30" customHeight="1" x14ac:dyDescent="0.2">
      <c r="B32" s="72"/>
      <c r="C32" s="290"/>
      <c r="D32" s="280"/>
      <c r="E32" s="63"/>
      <c r="F32" s="81"/>
      <c r="G32" s="81" t="s">
        <v>99</v>
      </c>
      <c r="H32" s="82">
        <v>0</v>
      </c>
    </row>
    <row r="33" spans="1:9" ht="30" customHeight="1" x14ac:dyDescent="0.25">
      <c r="B33" s="83"/>
      <c r="C33" s="291"/>
      <c r="D33" s="278"/>
      <c r="E33" s="84"/>
      <c r="F33" s="85"/>
      <c r="G33" s="85" t="s">
        <v>100</v>
      </c>
      <c r="H33" s="86">
        <f>SUM(H30:H32)</f>
        <v>83.6</v>
      </c>
    </row>
    <row r="34" spans="1:9" ht="30" customHeight="1" x14ac:dyDescent="0.25">
      <c r="B34" s="83"/>
      <c r="C34" s="83"/>
      <c r="E34" s="84"/>
      <c r="F34" s="85"/>
      <c r="G34" s="85"/>
      <c r="H34" s="87"/>
    </row>
    <row r="35" spans="1:9" ht="30" customHeight="1" x14ac:dyDescent="0.25">
      <c r="B35" s="83"/>
      <c r="C35" s="83"/>
      <c r="E35" s="84"/>
      <c r="F35" s="85"/>
      <c r="G35" s="85"/>
      <c r="H35" s="86"/>
    </row>
    <row r="36" spans="1:9" ht="30" customHeight="1" x14ac:dyDescent="0.25">
      <c r="B36" s="83"/>
      <c r="C36" s="83"/>
      <c r="E36" s="84"/>
      <c r="F36" s="85"/>
      <c r="G36" s="85"/>
      <c r="H36" s="86"/>
    </row>
    <row r="37" spans="1:9" ht="30" customHeight="1" x14ac:dyDescent="0.25">
      <c r="B37" s="83"/>
      <c r="C37" s="83"/>
      <c r="E37" s="84"/>
      <c r="F37" s="85"/>
      <c r="G37" s="85"/>
      <c r="H37" s="86"/>
    </row>
    <row r="38" spans="1:9" ht="30" customHeight="1" x14ac:dyDescent="0.25">
      <c r="B38" s="83"/>
      <c r="C38" s="83"/>
      <c r="E38" s="84"/>
      <c r="F38" s="85"/>
      <c r="G38" s="85"/>
      <c r="H38" s="86"/>
    </row>
    <row r="39" spans="1:9" ht="30" customHeight="1" x14ac:dyDescent="0.2">
      <c r="B39" s="83"/>
      <c r="C39" s="88"/>
      <c r="D39" s="292" t="s">
        <v>101</v>
      </c>
      <c r="E39" s="292"/>
      <c r="F39" s="292"/>
      <c r="G39" s="89"/>
      <c r="H39" s="90"/>
    </row>
    <row r="40" spans="1:9" ht="12.75" customHeight="1" x14ac:dyDescent="0.2"/>
    <row r="41" spans="1:9" ht="12.75" x14ac:dyDescent="0.2">
      <c r="A41" s="92"/>
      <c r="B41" s="91" t="s">
        <v>102</v>
      </c>
      <c r="C41" s="92"/>
      <c r="D41" s="92"/>
      <c r="E41" s="104"/>
      <c r="F41" s="95"/>
      <c r="G41" s="95"/>
      <c r="H41" s="105" t="s">
        <v>103</v>
      </c>
      <c r="I41" s="106"/>
    </row>
    <row r="42" spans="1:9" ht="14.25" customHeight="1" x14ac:dyDescent="0.2">
      <c r="A42" s="92"/>
      <c r="B42" s="94" t="s">
        <v>104</v>
      </c>
      <c r="C42" s="53"/>
      <c r="D42" s="53"/>
      <c r="E42" s="104"/>
      <c r="F42" s="104"/>
      <c r="G42" s="283">
        <f>H33</f>
        <v>83.6</v>
      </c>
      <c r="H42" s="283"/>
      <c r="I42" s="298"/>
    </row>
    <row r="43" spans="1:9" ht="14.25" x14ac:dyDescent="0.2">
      <c r="A43" s="53"/>
      <c r="B43" s="94" t="s">
        <v>106</v>
      </c>
      <c r="C43" s="53"/>
      <c r="D43" s="53"/>
      <c r="E43" s="104"/>
      <c r="F43" s="104"/>
      <c r="G43" s="283"/>
      <c r="H43" s="283"/>
      <c r="I43" s="298"/>
    </row>
    <row r="44" spans="1:9" ht="14.25" x14ac:dyDescent="0.2">
      <c r="A44" s="53"/>
      <c r="B44" s="94" t="s">
        <v>107</v>
      </c>
      <c r="C44" s="53"/>
      <c r="D44" s="53"/>
      <c r="E44" s="95"/>
      <c r="F44" s="95"/>
      <c r="G44" s="95"/>
      <c r="H44" s="95"/>
      <c r="I44" s="95"/>
    </row>
    <row r="45" spans="1:9" ht="14.25" x14ac:dyDescent="0.2">
      <c r="A45" s="53"/>
      <c r="B45" s="94" t="s">
        <v>114</v>
      </c>
      <c r="C45" s="96"/>
      <c r="D45" s="96"/>
      <c r="E45" s="97"/>
      <c r="F45" s="97"/>
      <c r="G45" s="97"/>
      <c r="H45" s="97"/>
      <c r="I45" s="95"/>
    </row>
    <row r="46" spans="1:9" ht="53.25" customHeight="1" x14ac:dyDescent="0.2">
      <c r="B46" s="284"/>
      <c r="C46" s="278"/>
      <c r="D46" s="278"/>
      <c r="E46" s="278"/>
      <c r="F46" s="278"/>
      <c r="G46" s="278"/>
      <c r="H46" s="278"/>
    </row>
    <row r="50" spans="6:7" ht="15.75" customHeight="1" x14ac:dyDescent="0.2">
      <c r="F50" s="62"/>
      <c r="G50" s="62"/>
    </row>
    <row r="51" spans="6:7" ht="15.75" customHeight="1" x14ac:dyDescent="0.2">
      <c r="F51" s="62"/>
      <c r="G51" s="62"/>
    </row>
    <row r="52" spans="6:7" ht="15.75" customHeight="1" x14ac:dyDescent="0.2">
      <c r="F52" s="62"/>
      <c r="G52" s="62"/>
    </row>
    <row r="55" spans="6:7" ht="15.75" customHeight="1" x14ac:dyDescent="0.2">
      <c r="F55" s="62"/>
      <c r="G55" s="62"/>
    </row>
    <row r="57" spans="6:7" ht="15.75" customHeight="1" x14ac:dyDescent="0.2">
      <c r="F57" s="62"/>
      <c r="G57" s="62"/>
    </row>
  </sheetData>
  <mergeCells count="20">
    <mergeCell ref="I42:I43"/>
    <mergeCell ref="B46:H46"/>
    <mergeCell ref="C29:D29"/>
    <mergeCell ref="C30:D30"/>
    <mergeCell ref="C32:D32"/>
    <mergeCell ref="C33:D33"/>
    <mergeCell ref="D39:F39"/>
    <mergeCell ref="G42:H43"/>
    <mergeCell ref="C28:D28"/>
    <mergeCell ref="E3:H3"/>
    <mergeCell ref="B4:D6"/>
    <mergeCell ref="E4:H4"/>
    <mergeCell ref="E5:H5"/>
    <mergeCell ref="E6:H6"/>
    <mergeCell ref="B18:E18"/>
    <mergeCell ref="B19:E19"/>
    <mergeCell ref="B20:E20"/>
    <mergeCell ref="B23:E23"/>
    <mergeCell ref="B24:H24"/>
    <mergeCell ref="C27:D27"/>
  </mergeCells>
  <conditionalFormatting sqref="B26">
    <cfRule type="notContainsBlanks" dxfId="34" priority="1">
      <formula>LEN(TRIM(B26))&gt;0</formula>
    </cfRule>
  </conditionalFormatting>
  <hyperlinks>
    <hyperlink ref="B12" r:id="rId1" xr:uid="{4AB107C3-5CB4-4E16-A27E-0AC64A81F095}"/>
  </hyperlinks>
  <printOptions horizontalCentered="1" verticalCentered="1"/>
  <pageMargins left="0.13" right="7.0000000000000007E-2" top="0.19685039370078741" bottom="0.19685039370078741" header="0.31496062992125984" footer="0.31496062992125984"/>
  <pageSetup paperSize="9" scale="94" orientation="portrait" r:id="rId2"/>
  <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C11DA1-E166-4CD7-BBF8-23930F2E02E6}">
  <sheetPr codeName="Sheet26">
    <tabColor theme="6" tint="0.79998168889431442"/>
    <outlinePr summaryBelow="0" summaryRight="0"/>
    <pageSetUpPr fitToPage="1"/>
  </sheetPr>
  <dimension ref="A1:M59"/>
  <sheetViews>
    <sheetView showGridLines="0" topLeftCell="A7" zoomScale="120" zoomScaleNormal="120" workbookViewId="0">
      <selection activeCell="H11" sqref="H11"/>
    </sheetView>
  </sheetViews>
  <sheetFormatPr defaultColWidth="14.42578125" defaultRowHeight="15.75" customHeight="1" x14ac:dyDescent="0.2"/>
  <cols>
    <col min="1" max="1" width="3.42578125" style="55" customWidth="1"/>
    <col min="2" max="3" width="14.42578125" style="55"/>
    <col min="4" max="4" width="26.7109375" style="55" customWidth="1"/>
    <col min="5" max="5" width="18.140625" style="55" bestFit="1" customWidth="1"/>
    <col min="6" max="6" width="16.42578125" style="55" customWidth="1"/>
    <col min="7" max="7" width="12.7109375" style="55" customWidth="1"/>
    <col min="8" max="8" width="17.42578125" style="55" customWidth="1"/>
    <col min="9" max="9" width="3.42578125" style="55" customWidth="1"/>
    <col min="10" max="16384" width="14.42578125" style="55"/>
  </cols>
  <sheetData>
    <row r="1" spans="1:10" ht="39" customHeight="1" x14ac:dyDescent="0.2">
      <c r="A1" s="53"/>
      <c r="B1" s="54"/>
      <c r="C1" s="54"/>
      <c r="D1" s="54"/>
      <c r="E1" s="54"/>
      <c r="F1" s="54"/>
      <c r="G1" s="54"/>
      <c r="H1" s="54"/>
      <c r="I1" s="54"/>
    </row>
    <row r="2" spans="1:10" x14ac:dyDescent="0.25">
      <c r="A2" s="53"/>
      <c r="B2" s="56"/>
      <c r="C2" s="56"/>
      <c r="D2" s="56"/>
      <c r="E2" s="57"/>
      <c r="F2" s="57"/>
      <c r="G2" s="57"/>
      <c r="H2" s="57"/>
      <c r="I2" s="56"/>
    </row>
    <row r="3" spans="1:10" ht="12.75" x14ac:dyDescent="0.2">
      <c r="A3" s="53"/>
      <c r="B3" s="56"/>
      <c r="C3" s="56"/>
      <c r="D3" s="56"/>
      <c r="E3" s="273"/>
      <c r="F3" s="274"/>
      <c r="G3" s="274"/>
      <c r="H3" s="274"/>
      <c r="I3" s="56"/>
    </row>
    <row r="4" spans="1:10" ht="12.75" x14ac:dyDescent="0.2">
      <c r="A4" s="53"/>
      <c r="B4" s="275" t="s">
        <v>83</v>
      </c>
      <c r="C4" s="276"/>
      <c r="D4" s="276"/>
      <c r="E4" s="277"/>
      <c r="F4" s="274"/>
      <c r="G4" s="274"/>
      <c r="H4" s="274"/>
      <c r="I4" s="56"/>
    </row>
    <row r="5" spans="1:10" ht="12.75" x14ac:dyDescent="0.2">
      <c r="A5" s="53"/>
      <c r="B5" s="276"/>
      <c r="C5" s="276"/>
      <c r="D5" s="276"/>
      <c r="E5" s="277"/>
      <c r="F5" s="274"/>
      <c r="G5" s="274"/>
      <c r="H5" s="274"/>
      <c r="I5" s="56"/>
    </row>
    <row r="6" spans="1:10" ht="12.75" x14ac:dyDescent="0.2">
      <c r="A6" s="53"/>
      <c r="B6" s="276"/>
      <c r="C6" s="276"/>
      <c r="D6" s="276"/>
      <c r="E6" s="277"/>
      <c r="F6" s="274"/>
      <c r="G6" s="274"/>
      <c r="H6" s="274"/>
      <c r="I6" s="56"/>
    </row>
    <row r="7" spans="1:10" ht="36.75" customHeight="1" x14ac:dyDescent="0.2">
      <c r="A7" s="53"/>
      <c r="B7" s="54"/>
      <c r="C7" s="54"/>
      <c r="D7" s="54"/>
      <c r="E7" s="54"/>
      <c r="F7" s="54"/>
      <c r="G7" s="54"/>
      <c r="H7" s="54"/>
      <c r="I7" s="54"/>
    </row>
    <row r="8" spans="1:10" ht="21.75" customHeight="1" x14ac:dyDescent="0.2">
      <c r="B8" s="58"/>
      <c r="C8" s="58"/>
      <c r="D8" s="58"/>
      <c r="E8" s="58"/>
      <c r="F8" s="58"/>
      <c r="G8" s="58"/>
      <c r="H8" s="58"/>
      <c r="I8" s="58"/>
      <c r="J8" s="59"/>
    </row>
    <row r="9" spans="1:10" ht="15.75" customHeight="1" x14ac:dyDescent="0.2">
      <c r="B9" s="278"/>
      <c r="C9" s="278"/>
      <c r="D9" s="278"/>
      <c r="E9" s="278"/>
      <c r="F9" s="278"/>
      <c r="G9" s="278"/>
      <c r="H9" s="278"/>
    </row>
    <row r="10" spans="1:10" ht="15" customHeight="1" x14ac:dyDescent="0.2">
      <c r="B10" s="60" t="s">
        <v>84</v>
      </c>
      <c r="G10" s="60"/>
      <c r="H10" s="61" t="s">
        <v>85</v>
      </c>
    </row>
    <row r="11" spans="1:10" ht="14.25" x14ac:dyDescent="0.2">
      <c r="B11" s="62" t="s">
        <v>86</v>
      </c>
      <c r="G11" s="62"/>
      <c r="H11" s="63" t="str">
        <f>"CC"&amp;J11</f>
        <v>CC21</v>
      </c>
      <c r="J11" s="55">
        <v>21</v>
      </c>
    </row>
    <row r="12" spans="1:10" ht="15" x14ac:dyDescent="0.2">
      <c r="B12" s="62" t="s">
        <v>87</v>
      </c>
      <c r="G12" s="60"/>
      <c r="H12" s="61" t="s">
        <v>88</v>
      </c>
      <c r="J12" s="55">
        <v>7</v>
      </c>
    </row>
    <row r="13" spans="1:10" ht="14.25" x14ac:dyDescent="0.2">
      <c r="B13" s="62"/>
      <c r="G13" s="64"/>
      <c r="H13" s="65">
        <v>44952</v>
      </c>
    </row>
    <row r="14" spans="1:10" ht="15" x14ac:dyDescent="0.2">
      <c r="G14" s="60"/>
      <c r="H14" s="61" t="s">
        <v>89</v>
      </c>
    </row>
    <row r="15" spans="1:10" ht="14.25" x14ac:dyDescent="0.2">
      <c r="G15" s="64"/>
      <c r="H15" s="65">
        <f>H13+J12</f>
        <v>44959</v>
      </c>
    </row>
    <row r="16" spans="1:10" ht="14.25" x14ac:dyDescent="0.2">
      <c r="B16" s="62"/>
      <c r="F16" s="65"/>
      <c r="G16" s="65"/>
      <c r="H16" s="65"/>
    </row>
    <row r="17" spans="2:13" ht="14.25" x14ac:dyDescent="0.2">
      <c r="F17" s="65"/>
      <c r="G17" s="65"/>
      <c r="H17" s="66"/>
    </row>
    <row r="18" spans="2:13" ht="22.5" customHeight="1" x14ac:dyDescent="0.2">
      <c r="B18" s="279" t="s">
        <v>90</v>
      </c>
      <c r="C18" s="280"/>
      <c r="D18" s="280"/>
      <c r="E18" s="280"/>
      <c r="F18" s="65"/>
      <c r="G18" s="65"/>
      <c r="H18" s="66"/>
    </row>
    <row r="19" spans="2:13" ht="15" x14ac:dyDescent="0.2">
      <c r="B19" s="279" t="s">
        <v>185</v>
      </c>
      <c r="C19" s="280"/>
      <c r="D19" s="280"/>
      <c r="E19" s="280"/>
      <c r="F19" s="65"/>
      <c r="G19" s="65"/>
      <c r="H19" s="66"/>
    </row>
    <row r="20" spans="2:13" ht="14.25" x14ac:dyDescent="0.2">
      <c r="B20" s="282" t="s">
        <v>186</v>
      </c>
      <c r="C20" s="280"/>
      <c r="D20" s="280"/>
      <c r="E20" s="280"/>
      <c r="F20" s="65"/>
      <c r="G20" s="65"/>
      <c r="H20" s="66"/>
    </row>
    <row r="21" spans="2:13" ht="14.25" x14ac:dyDescent="0.2">
      <c r="B21" s="62"/>
      <c r="C21" s="67"/>
      <c r="D21" s="67"/>
      <c r="E21" s="67"/>
      <c r="F21" s="65"/>
      <c r="G21" s="65"/>
      <c r="H21" s="66"/>
    </row>
    <row r="22" spans="2:13" ht="14.25" x14ac:dyDescent="0.2">
      <c r="B22" s="62"/>
      <c r="C22" s="67"/>
      <c r="D22" s="67"/>
      <c r="E22" s="67"/>
      <c r="F22" s="65"/>
      <c r="G22" s="65"/>
      <c r="H22" s="66"/>
    </row>
    <row r="23" spans="2:13" ht="22.5" customHeight="1" x14ac:dyDescent="0.2">
      <c r="B23" s="282"/>
      <c r="C23" s="280"/>
      <c r="D23" s="280"/>
      <c r="E23" s="280"/>
      <c r="F23" s="67"/>
      <c r="G23" s="67"/>
      <c r="H23" s="67"/>
    </row>
    <row r="24" spans="2:13" ht="27.75" customHeight="1" x14ac:dyDescent="0.2">
      <c r="B24" s="280"/>
      <c r="C24" s="280"/>
      <c r="D24" s="280"/>
      <c r="E24" s="280"/>
      <c r="F24" s="280"/>
      <c r="G24" s="280"/>
      <c r="H24" s="280"/>
    </row>
    <row r="25" spans="2:13" ht="27.75" customHeight="1" x14ac:dyDescent="0.2">
      <c r="B25" s="67"/>
      <c r="C25" s="67"/>
      <c r="D25" s="67"/>
      <c r="E25" s="67"/>
      <c r="F25" s="67"/>
      <c r="G25" s="67"/>
      <c r="H25" s="67"/>
    </row>
    <row r="26" spans="2:13" ht="15.75" customHeight="1" x14ac:dyDescent="0.2">
      <c r="B26" s="67"/>
      <c r="C26" s="67"/>
      <c r="D26" s="67"/>
      <c r="E26" s="67"/>
      <c r="F26" s="67"/>
      <c r="G26" s="67"/>
      <c r="H26" s="67"/>
    </row>
    <row r="27" spans="2:13" ht="15" x14ac:dyDescent="0.25">
      <c r="B27" s="68" t="s">
        <v>88</v>
      </c>
      <c r="C27" s="272" t="s">
        <v>92</v>
      </c>
      <c r="D27" s="272"/>
      <c r="E27" s="69" t="s">
        <v>139</v>
      </c>
      <c r="F27" s="69" t="s">
        <v>94</v>
      </c>
      <c r="G27" s="70" t="s">
        <v>18</v>
      </c>
      <c r="H27" s="69" t="s">
        <v>121</v>
      </c>
    </row>
    <row r="28" spans="2:13" ht="25.5" customHeight="1" x14ac:dyDescent="0.2">
      <c r="B28" s="71">
        <v>44951</v>
      </c>
      <c r="C28" s="290" t="s">
        <v>187</v>
      </c>
      <c r="D28" s="280"/>
      <c r="E28" s="73">
        <v>40</v>
      </c>
      <c r="F28" s="74">
        <v>2</v>
      </c>
      <c r="G28" s="75">
        <v>0.1</v>
      </c>
      <c r="H28" s="73">
        <f>E28*F28</f>
        <v>80</v>
      </c>
    </row>
    <row r="29" spans="2:13" ht="14.25" x14ac:dyDescent="0.2">
      <c r="B29" s="76"/>
      <c r="C29" s="286"/>
      <c r="D29" s="287"/>
      <c r="E29" s="77"/>
      <c r="F29" s="78"/>
      <c r="G29" s="78"/>
      <c r="H29" s="77"/>
      <c r="M29" s="123"/>
    </row>
    <row r="30" spans="2:13" ht="30" customHeight="1" x14ac:dyDescent="0.2">
      <c r="B30" s="72"/>
      <c r="C30" s="290"/>
      <c r="D30" s="280"/>
      <c r="E30" s="63"/>
      <c r="F30" s="79" t="s">
        <v>97</v>
      </c>
      <c r="G30" s="79"/>
      <c r="H30" s="80">
        <f>SUM(H28:H29)</f>
        <v>80</v>
      </c>
    </row>
    <row r="31" spans="2:13" ht="30" customHeight="1" x14ac:dyDescent="0.2">
      <c r="B31" s="72"/>
      <c r="C31" s="72"/>
      <c r="D31" s="67"/>
      <c r="E31" s="63"/>
      <c r="F31" s="79" t="s">
        <v>98</v>
      </c>
      <c r="G31" s="79"/>
      <c r="H31" s="80">
        <f>H30*0.1</f>
        <v>8</v>
      </c>
    </row>
    <row r="32" spans="2:13" ht="30" customHeight="1" x14ac:dyDescent="0.2">
      <c r="B32" s="72"/>
      <c r="C32" s="290"/>
      <c r="D32" s="280"/>
      <c r="E32" s="63"/>
      <c r="F32" s="81" t="s">
        <v>99</v>
      </c>
      <c r="G32" s="81"/>
      <c r="H32" s="82">
        <v>0</v>
      </c>
    </row>
    <row r="33" spans="1:9" ht="30" customHeight="1" x14ac:dyDescent="0.25">
      <c r="B33" s="83"/>
      <c r="C33" s="291"/>
      <c r="D33" s="278"/>
      <c r="E33" s="84"/>
      <c r="F33" s="85" t="s">
        <v>100</v>
      </c>
      <c r="G33" s="85"/>
      <c r="H33" s="86">
        <f>SUM(H30:H32)</f>
        <v>88</v>
      </c>
    </row>
    <row r="34" spans="1:9" ht="30" customHeight="1" x14ac:dyDescent="0.25">
      <c r="B34" s="83"/>
      <c r="C34" s="83"/>
      <c r="E34" s="84"/>
      <c r="F34" s="85"/>
      <c r="G34" s="85"/>
      <c r="H34" s="87"/>
    </row>
    <row r="35" spans="1:9" ht="30" customHeight="1" x14ac:dyDescent="0.25">
      <c r="B35" s="83"/>
      <c r="C35" s="83"/>
      <c r="E35" s="84"/>
      <c r="F35" s="85"/>
      <c r="G35" s="85"/>
      <c r="H35" s="86"/>
    </row>
    <row r="36" spans="1:9" ht="30" customHeight="1" x14ac:dyDescent="0.25">
      <c r="B36" s="83"/>
      <c r="C36" s="83"/>
      <c r="E36" s="84"/>
      <c r="F36" s="85"/>
      <c r="G36" s="85"/>
      <c r="H36" s="86"/>
    </row>
    <row r="37" spans="1:9" ht="30" customHeight="1" x14ac:dyDescent="0.25">
      <c r="B37" s="83"/>
      <c r="C37" s="83"/>
      <c r="E37" s="84"/>
      <c r="F37" s="85"/>
      <c r="G37" s="85"/>
      <c r="H37" s="86"/>
    </row>
    <row r="38" spans="1:9" ht="30" customHeight="1" x14ac:dyDescent="0.25">
      <c r="B38" s="83"/>
      <c r="C38" s="83"/>
      <c r="E38" s="84"/>
      <c r="F38" s="85"/>
      <c r="G38" s="85"/>
      <c r="H38" s="86"/>
    </row>
    <row r="39" spans="1:9" ht="30" customHeight="1" x14ac:dyDescent="0.25">
      <c r="B39" s="83"/>
      <c r="C39" s="83"/>
      <c r="E39" s="84"/>
      <c r="F39" s="85"/>
      <c r="G39" s="85"/>
      <c r="H39" s="86"/>
    </row>
    <row r="40" spans="1:9" ht="30" customHeight="1" x14ac:dyDescent="0.25">
      <c r="B40" s="83"/>
      <c r="C40" s="83"/>
      <c r="E40" s="84"/>
      <c r="F40" s="85"/>
      <c r="G40" s="85"/>
      <c r="H40" s="86"/>
    </row>
    <row r="41" spans="1:9" ht="30" customHeight="1" x14ac:dyDescent="0.2">
      <c r="B41" s="83"/>
      <c r="C41" s="88"/>
      <c r="D41" s="292" t="s">
        <v>101</v>
      </c>
      <c r="E41" s="292"/>
      <c r="F41" s="292"/>
      <c r="G41" s="89"/>
      <c r="H41" s="90"/>
    </row>
    <row r="42" spans="1:9" ht="12.75" customHeight="1" x14ac:dyDescent="0.2"/>
    <row r="43" spans="1:9" ht="12.75" x14ac:dyDescent="0.2">
      <c r="A43" s="53"/>
      <c r="B43" s="124" t="s">
        <v>141</v>
      </c>
      <c r="C43" s="92"/>
      <c r="D43" s="92"/>
      <c r="E43" s="300" t="s">
        <v>103</v>
      </c>
      <c r="F43" s="300"/>
      <c r="G43" s="300"/>
      <c r="H43" s="300"/>
      <c r="I43" s="300"/>
    </row>
    <row r="44" spans="1:9" ht="14.25" customHeight="1" x14ac:dyDescent="0.2">
      <c r="A44" s="53"/>
      <c r="B44" s="94" t="s">
        <v>104</v>
      </c>
      <c r="C44" s="53"/>
      <c r="D44" s="53"/>
      <c r="E44" s="283">
        <f>H33</f>
        <v>88</v>
      </c>
      <c r="F44" s="283"/>
      <c r="G44" s="283"/>
      <c r="H44" s="283"/>
      <c r="I44" s="283"/>
    </row>
    <row r="45" spans="1:9" ht="14.25" x14ac:dyDescent="0.2">
      <c r="A45" s="53"/>
      <c r="B45" s="94" t="s">
        <v>106</v>
      </c>
      <c r="C45" s="53"/>
      <c r="D45" s="53"/>
      <c r="E45" s="283"/>
      <c r="F45" s="283"/>
      <c r="G45" s="283"/>
      <c r="H45" s="283"/>
      <c r="I45" s="283"/>
    </row>
    <row r="46" spans="1:9" ht="14.25" x14ac:dyDescent="0.2">
      <c r="A46" s="53"/>
      <c r="B46" s="94" t="s">
        <v>107</v>
      </c>
      <c r="C46" s="53"/>
      <c r="D46" s="53"/>
      <c r="E46" s="95"/>
      <c r="F46" s="95"/>
      <c r="G46" s="95"/>
      <c r="H46" s="95"/>
      <c r="I46" s="95"/>
    </row>
    <row r="47" spans="1:9" ht="13.5" x14ac:dyDescent="0.2">
      <c r="A47" s="53"/>
      <c r="B47" s="125" t="s">
        <v>142</v>
      </c>
      <c r="C47" s="96"/>
      <c r="D47" s="96"/>
      <c r="E47" s="97"/>
      <c r="F47" s="97"/>
      <c r="G47" s="97"/>
      <c r="H47" s="97"/>
      <c r="I47" s="95"/>
    </row>
    <row r="48" spans="1:9" ht="53.25" customHeight="1" x14ac:dyDescent="0.2">
      <c r="B48" s="284"/>
      <c r="C48" s="278"/>
      <c r="D48" s="278"/>
      <c r="E48" s="278"/>
      <c r="F48" s="278"/>
      <c r="G48" s="278"/>
      <c r="H48" s="278"/>
    </row>
    <row r="52" spans="6:7" ht="15.75" customHeight="1" x14ac:dyDescent="0.2">
      <c r="F52" s="62"/>
      <c r="G52" s="62"/>
    </row>
    <row r="53" spans="6:7" ht="15.75" customHeight="1" x14ac:dyDescent="0.2">
      <c r="F53" s="62"/>
      <c r="G53" s="62"/>
    </row>
    <row r="54" spans="6:7" ht="15.75" customHeight="1" x14ac:dyDescent="0.2">
      <c r="F54" s="62"/>
      <c r="G54" s="62"/>
    </row>
    <row r="57" spans="6:7" ht="15.75" customHeight="1" x14ac:dyDescent="0.2">
      <c r="F57" s="62"/>
      <c r="G57" s="62"/>
    </row>
    <row r="59" spans="6:7" ht="15.75" customHeight="1" x14ac:dyDescent="0.2">
      <c r="F59" s="62"/>
      <c r="G59" s="62"/>
    </row>
  </sheetData>
  <mergeCells count="21">
    <mergeCell ref="E43:I43"/>
    <mergeCell ref="E44:I45"/>
    <mergeCell ref="B48:H48"/>
    <mergeCell ref="C28:D28"/>
    <mergeCell ref="C29:D29"/>
    <mergeCell ref="C30:D30"/>
    <mergeCell ref="C32:D32"/>
    <mergeCell ref="C33:D33"/>
    <mergeCell ref="D41:F41"/>
    <mergeCell ref="C27:D27"/>
    <mergeCell ref="E3:H3"/>
    <mergeCell ref="B4:D6"/>
    <mergeCell ref="E4:H4"/>
    <mergeCell ref="E5:H5"/>
    <mergeCell ref="E6:H6"/>
    <mergeCell ref="B9:H9"/>
    <mergeCell ref="B18:E18"/>
    <mergeCell ref="B19:E19"/>
    <mergeCell ref="B20:E20"/>
    <mergeCell ref="B23:E23"/>
    <mergeCell ref="B24:H24"/>
  </mergeCells>
  <conditionalFormatting sqref="B26">
    <cfRule type="notContainsBlanks" dxfId="33" priority="1">
      <formula>LEN(TRIM(B26))&gt;0</formula>
    </cfRule>
  </conditionalFormatting>
  <hyperlinks>
    <hyperlink ref="B12" r:id="rId1" xr:uid="{0ED7F845-4A64-4AB0-90E3-360228B7DBDD}"/>
  </hyperlinks>
  <pageMargins left="0.28999999999999998" right="0.19" top="0.6" bottom="0.5" header="0.31496062000000002" footer="0.31496062000000002"/>
  <pageSetup paperSize="9" scale="78" orientation="portrait" r:id="rId2"/>
  <drawing r:id="rId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DB5A7D-A2B7-413A-AFF8-C31C20B762CF}">
  <sheetPr codeName="Sheet27">
    <tabColor theme="6" tint="0.79998168889431442"/>
    <outlinePr summaryBelow="0" summaryRight="0"/>
    <pageSetUpPr fitToPage="1"/>
  </sheetPr>
  <dimension ref="A1:N59"/>
  <sheetViews>
    <sheetView showGridLines="0" topLeftCell="A5" zoomScale="115" zoomScaleNormal="115" workbookViewId="0">
      <selection activeCell="H11" sqref="H11"/>
    </sheetView>
  </sheetViews>
  <sheetFormatPr defaultColWidth="14.42578125" defaultRowHeight="15.75" customHeight="1" x14ac:dyDescent="0.2"/>
  <cols>
    <col min="1" max="1" width="2.85546875" style="55" customWidth="1"/>
    <col min="2" max="3" width="14.42578125" style="55"/>
    <col min="4" max="4" width="21.42578125" style="55" customWidth="1"/>
    <col min="5" max="5" width="18.140625" style="55" bestFit="1" customWidth="1"/>
    <col min="6" max="6" width="16.42578125" style="55" customWidth="1"/>
    <col min="7" max="7" width="10.7109375" style="55" customWidth="1"/>
    <col min="8" max="8" width="16" style="55" customWidth="1"/>
    <col min="9" max="9" width="2.42578125" style="55" customWidth="1"/>
    <col min="10" max="16384" width="14.42578125" style="55"/>
  </cols>
  <sheetData>
    <row r="1" spans="1:10" ht="39" customHeight="1" x14ac:dyDescent="0.2">
      <c r="A1" s="54"/>
      <c r="B1" s="54"/>
      <c r="C1" s="54"/>
      <c r="D1" s="54"/>
      <c r="E1" s="54"/>
      <c r="F1" s="54"/>
      <c r="G1" s="54"/>
      <c r="H1" s="54"/>
      <c r="I1" s="54"/>
    </row>
    <row r="2" spans="1:10" x14ac:dyDescent="0.25">
      <c r="A2" s="54"/>
      <c r="B2" s="56"/>
      <c r="C2" s="56"/>
      <c r="D2" s="56"/>
      <c r="E2" s="57"/>
      <c r="F2" s="57"/>
      <c r="G2" s="57"/>
      <c r="H2" s="57"/>
      <c r="I2" s="56"/>
    </row>
    <row r="3" spans="1:10" ht="12.75" x14ac:dyDescent="0.2">
      <c r="A3" s="54"/>
      <c r="B3" s="56"/>
      <c r="C3" s="56"/>
      <c r="D3" s="56"/>
      <c r="E3" s="273"/>
      <c r="F3" s="274"/>
      <c r="G3" s="274"/>
      <c r="H3" s="274"/>
      <c r="I3" s="56"/>
    </row>
    <row r="4" spans="1:10" ht="12.75" x14ac:dyDescent="0.2">
      <c r="A4" s="54"/>
      <c r="B4" s="275" t="s">
        <v>83</v>
      </c>
      <c r="C4" s="276"/>
      <c r="D4" s="276"/>
      <c r="E4" s="277"/>
      <c r="F4" s="274"/>
      <c r="G4" s="274"/>
      <c r="H4" s="274"/>
      <c r="I4" s="56"/>
    </row>
    <row r="5" spans="1:10" ht="12.75" x14ac:dyDescent="0.2">
      <c r="A5" s="54"/>
      <c r="B5" s="276"/>
      <c r="C5" s="276"/>
      <c r="D5" s="276"/>
      <c r="E5" s="277"/>
      <c r="F5" s="274"/>
      <c r="G5" s="274"/>
      <c r="H5" s="274"/>
      <c r="I5" s="56"/>
    </row>
    <row r="6" spans="1:10" ht="12.75" x14ac:dyDescent="0.2">
      <c r="A6" s="54"/>
      <c r="B6" s="276"/>
      <c r="C6" s="276"/>
      <c r="D6" s="276"/>
      <c r="E6" s="277"/>
      <c r="F6" s="274"/>
      <c r="G6" s="274"/>
      <c r="H6" s="274"/>
      <c r="I6" s="56"/>
    </row>
    <row r="7" spans="1:10" ht="36.75" customHeight="1" x14ac:dyDescent="0.2">
      <c r="A7" s="54"/>
      <c r="B7" s="54"/>
      <c r="C7" s="54"/>
      <c r="D7" s="54"/>
      <c r="E7" s="54"/>
      <c r="F7" s="54"/>
      <c r="G7" s="54"/>
      <c r="H7" s="54"/>
      <c r="I7" s="54"/>
    </row>
    <row r="8" spans="1:10" ht="21.75" customHeight="1" x14ac:dyDescent="0.2">
      <c r="A8" s="58"/>
      <c r="B8" s="58"/>
      <c r="C8" s="58"/>
      <c r="D8" s="58"/>
      <c r="E8" s="58"/>
      <c r="F8" s="58"/>
      <c r="G8" s="58"/>
      <c r="H8" s="58"/>
      <c r="I8" s="58"/>
      <c r="J8" s="59"/>
    </row>
    <row r="9" spans="1:10" ht="15.75" customHeight="1" x14ac:dyDescent="0.2">
      <c r="B9" s="278"/>
      <c r="C9" s="278"/>
      <c r="D9" s="278"/>
      <c r="E9" s="278"/>
      <c r="F9" s="278"/>
      <c r="G9" s="278"/>
      <c r="H9" s="278"/>
      <c r="J9" s="116"/>
    </row>
    <row r="10" spans="1:10" ht="15" customHeight="1" x14ac:dyDescent="0.2">
      <c r="A10" s="98"/>
      <c r="B10" s="60" t="s">
        <v>84</v>
      </c>
      <c r="G10" s="60"/>
      <c r="H10" s="61" t="s">
        <v>85</v>
      </c>
    </row>
    <row r="11" spans="1:10" ht="14.25" x14ac:dyDescent="0.2">
      <c r="A11" s="98"/>
      <c r="B11" s="62" t="s">
        <v>86</v>
      </c>
      <c r="G11" s="62"/>
      <c r="H11" s="63" t="str">
        <f>"CM"&amp;J11</f>
        <v>CM2</v>
      </c>
      <c r="J11" s="55">
        <v>2</v>
      </c>
    </row>
    <row r="12" spans="1:10" ht="15" x14ac:dyDescent="0.2">
      <c r="A12" s="98"/>
      <c r="B12" s="62" t="s">
        <v>87</v>
      </c>
      <c r="G12" s="60"/>
      <c r="H12" s="61" t="s">
        <v>88</v>
      </c>
      <c r="J12" s="55">
        <v>7</v>
      </c>
    </row>
    <row r="13" spans="1:10" ht="14.25" x14ac:dyDescent="0.2">
      <c r="A13" s="98"/>
      <c r="B13" s="62"/>
      <c r="G13" s="64"/>
      <c r="H13" s="65">
        <v>44938</v>
      </c>
    </row>
    <row r="14" spans="1:10" ht="15" x14ac:dyDescent="0.2">
      <c r="A14" s="98"/>
      <c r="G14" s="60"/>
      <c r="H14" s="61" t="s">
        <v>89</v>
      </c>
    </row>
    <row r="15" spans="1:10" ht="14.25" x14ac:dyDescent="0.2">
      <c r="A15" s="98"/>
      <c r="G15" s="64"/>
      <c r="H15" s="65">
        <f>H13+J12</f>
        <v>44945</v>
      </c>
    </row>
    <row r="16" spans="1:10" ht="14.25" x14ac:dyDescent="0.2">
      <c r="A16" s="98"/>
      <c r="B16" s="62"/>
      <c r="F16" s="65"/>
      <c r="G16" s="65"/>
      <c r="H16" s="65"/>
    </row>
    <row r="17" spans="1:14" ht="14.25" x14ac:dyDescent="0.2">
      <c r="A17" s="98"/>
      <c r="F17" s="65"/>
      <c r="G17" s="65"/>
      <c r="H17" s="66"/>
    </row>
    <row r="18" spans="1:14" ht="22.5" customHeight="1" x14ac:dyDescent="0.2">
      <c r="A18" s="98"/>
      <c r="B18" s="279" t="s">
        <v>90</v>
      </c>
      <c r="C18" s="280"/>
      <c r="D18" s="280"/>
      <c r="E18" s="280"/>
      <c r="F18" s="65"/>
      <c r="G18" s="65"/>
      <c r="H18" s="66"/>
    </row>
    <row r="19" spans="1:14" ht="15" x14ac:dyDescent="0.2">
      <c r="A19" s="98"/>
      <c r="B19" s="295" t="s">
        <v>188</v>
      </c>
      <c r="C19" s="296"/>
      <c r="D19" s="296"/>
      <c r="E19" s="296"/>
      <c r="F19" s="65"/>
      <c r="G19" s="65"/>
      <c r="H19" s="66"/>
    </row>
    <row r="20" spans="1:14" ht="14.25" x14ac:dyDescent="0.2">
      <c r="A20" s="98"/>
      <c r="B20" s="301" t="s">
        <v>189</v>
      </c>
      <c r="C20" s="296"/>
      <c r="D20" s="296"/>
      <c r="E20" s="296"/>
      <c r="F20" s="65"/>
      <c r="G20" s="65"/>
      <c r="H20" s="66"/>
    </row>
    <row r="21" spans="1:14" ht="14.25" x14ac:dyDescent="0.2">
      <c r="A21" s="98"/>
      <c r="B21" s="62"/>
      <c r="C21" s="67"/>
      <c r="D21" s="67"/>
      <c r="E21" s="67"/>
      <c r="F21" s="65"/>
      <c r="G21" s="65"/>
      <c r="H21" s="66"/>
    </row>
    <row r="22" spans="1:14" ht="14.25" x14ac:dyDescent="0.2">
      <c r="A22" s="98"/>
      <c r="B22" s="62"/>
      <c r="C22" s="67"/>
      <c r="D22" s="67"/>
      <c r="E22" s="67"/>
      <c r="F22" s="65"/>
      <c r="G22" s="65"/>
      <c r="H22" s="66"/>
    </row>
    <row r="23" spans="1:14" ht="22.5" customHeight="1" x14ac:dyDescent="0.2">
      <c r="A23" s="98"/>
      <c r="B23" s="282"/>
      <c r="C23" s="280"/>
      <c r="D23" s="280"/>
      <c r="E23" s="280"/>
      <c r="F23" s="67"/>
      <c r="G23" s="67"/>
      <c r="H23" s="67"/>
    </row>
    <row r="24" spans="1:14" ht="27.75" customHeight="1" x14ac:dyDescent="0.2">
      <c r="B24" s="280"/>
      <c r="C24" s="280"/>
      <c r="D24" s="280"/>
      <c r="E24" s="280"/>
      <c r="F24" s="280"/>
      <c r="G24" s="280"/>
      <c r="H24" s="280"/>
    </row>
    <row r="25" spans="1:14" ht="27.75" customHeight="1" x14ac:dyDescent="0.2">
      <c r="B25" s="67"/>
      <c r="C25" s="67"/>
      <c r="D25" s="67"/>
      <c r="E25" s="67"/>
      <c r="F25" s="67"/>
      <c r="G25" s="67"/>
      <c r="H25" s="67"/>
    </row>
    <row r="26" spans="1:14" ht="15.75" customHeight="1" x14ac:dyDescent="0.2">
      <c r="B26" s="67"/>
      <c r="C26" s="67"/>
      <c r="D26" s="67"/>
      <c r="E26" s="67"/>
      <c r="F26" s="67"/>
      <c r="G26" s="67"/>
      <c r="H26" s="67"/>
    </row>
    <row r="27" spans="1:14" ht="15" x14ac:dyDescent="0.25">
      <c r="B27" s="68" t="s">
        <v>88</v>
      </c>
      <c r="C27" s="272" t="s">
        <v>92</v>
      </c>
      <c r="D27" s="272"/>
      <c r="E27" s="70" t="s">
        <v>110</v>
      </c>
      <c r="F27" s="70" t="s">
        <v>94</v>
      </c>
      <c r="G27" s="70" t="s">
        <v>18</v>
      </c>
      <c r="H27" s="70" t="s">
        <v>121</v>
      </c>
    </row>
    <row r="28" spans="1:14" ht="25.5" customHeight="1" x14ac:dyDescent="0.2">
      <c r="B28" s="71">
        <v>44937</v>
      </c>
      <c r="C28" s="290" t="s">
        <v>140</v>
      </c>
      <c r="D28" s="280"/>
      <c r="E28" s="99">
        <v>40</v>
      </c>
      <c r="F28" s="108">
        <v>3</v>
      </c>
      <c r="G28" s="140">
        <v>0.1</v>
      </c>
      <c r="H28" s="99">
        <f>E28*F28</f>
        <v>120</v>
      </c>
      <c r="L28" s="145"/>
      <c r="M28" s="145"/>
      <c r="N28" s="145"/>
    </row>
    <row r="29" spans="1:14" ht="30" customHeight="1" x14ac:dyDescent="0.2">
      <c r="B29" s="76"/>
      <c r="C29" s="286"/>
      <c r="D29" s="287"/>
      <c r="E29" s="77"/>
      <c r="F29" s="103"/>
      <c r="G29" s="103"/>
      <c r="H29" s="77"/>
      <c r="L29" s="145"/>
      <c r="M29" s="145"/>
      <c r="N29" s="145"/>
    </row>
    <row r="30" spans="1:14" ht="30" customHeight="1" x14ac:dyDescent="0.2">
      <c r="B30" s="72"/>
      <c r="C30" s="290"/>
      <c r="D30" s="280"/>
      <c r="E30" s="63"/>
      <c r="F30" s="79" t="s">
        <v>97</v>
      </c>
      <c r="G30" s="79"/>
      <c r="H30" s="80">
        <f>SUM(H28:H29)</f>
        <v>120</v>
      </c>
      <c r="L30" s="145"/>
      <c r="M30" s="145"/>
      <c r="N30" s="145"/>
    </row>
    <row r="31" spans="1:14" ht="30" customHeight="1" x14ac:dyDescent="0.2">
      <c r="B31" s="72"/>
      <c r="C31" s="72"/>
      <c r="D31" s="67"/>
      <c r="E31" s="63"/>
      <c r="F31" s="79" t="s">
        <v>125</v>
      </c>
      <c r="G31" s="79"/>
      <c r="H31" s="80">
        <f>G28*H30</f>
        <v>12</v>
      </c>
      <c r="L31" s="145"/>
      <c r="M31" s="145"/>
      <c r="N31" s="145"/>
    </row>
    <row r="32" spans="1:14" ht="30" customHeight="1" x14ac:dyDescent="0.2">
      <c r="B32" s="72"/>
      <c r="C32" s="290"/>
      <c r="D32" s="280"/>
      <c r="E32" s="63"/>
      <c r="F32" s="81" t="s">
        <v>99</v>
      </c>
      <c r="G32" s="81"/>
      <c r="H32" s="82"/>
    </row>
    <row r="33" spans="1:9" ht="30" customHeight="1" x14ac:dyDescent="0.25">
      <c r="B33" s="83"/>
      <c r="C33" s="291"/>
      <c r="D33" s="278"/>
      <c r="E33" s="84"/>
      <c r="F33" s="85" t="s">
        <v>100</v>
      </c>
      <c r="G33" s="85"/>
      <c r="H33" s="86">
        <f>SUM(H30:H32)</f>
        <v>132</v>
      </c>
    </row>
    <row r="34" spans="1:9" ht="30" customHeight="1" x14ac:dyDescent="0.25">
      <c r="B34" s="83"/>
      <c r="C34" s="83"/>
      <c r="E34" s="84"/>
      <c r="F34" s="85"/>
      <c r="G34" s="85"/>
      <c r="H34" s="87"/>
    </row>
    <row r="35" spans="1:9" ht="30" customHeight="1" x14ac:dyDescent="0.25">
      <c r="B35" s="83"/>
      <c r="C35" s="83"/>
      <c r="E35" s="84"/>
      <c r="F35" s="85"/>
      <c r="G35" s="85"/>
      <c r="H35" s="86"/>
    </row>
    <row r="36" spans="1:9" ht="30" customHeight="1" x14ac:dyDescent="0.25">
      <c r="B36" s="83"/>
      <c r="C36" s="83"/>
      <c r="E36" s="84"/>
      <c r="F36" s="85"/>
      <c r="G36" s="85"/>
      <c r="H36" s="86"/>
    </row>
    <row r="37" spans="1:9" ht="30" customHeight="1" x14ac:dyDescent="0.25">
      <c r="B37" s="83"/>
      <c r="C37" s="83"/>
      <c r="E37" s="84"/>
      <c r="F37" s="85"/>
      <c r="G37" s="85"/>
      <c r="H37" s="86"/>
    </row>
    <row r="38" spans="1:9" ht="30" customHeight="1" x14ac:dyDescent="0.25">
      <c r="B38" s="83"/>
      <c r="C38" s="83"/>
      <c r="E38" s="84"/>
      <c r="F38" s="85"/>
      <c r="G38" s="85"/>
      <c r="H38" s="86"/>
    </row>
    <row r="39" spans="1:9" ht="30" customHeight="1" x14ac:dyDescent="0.25">
      <c r="B39" s="83"/>
      <c r="C39" s="83"/>
      <c r="E39" s="84"/>
      <c r="F39" s="85"/>
      <c r="G39" s="85"/>
      <c r="H39" s="86"/>
    </row>
    <row r="40" spans="1:9" ht="30" customHeight="1" x14ac:dyDescent="0.25">
      <c r="B40" s="83"/>
      <c r="C40" s="83"/>
      <c r="E40" s="84"/>
      <c r="F40" s="85"/>
      <c r="G40" s="85"/>
      <c r="H40" s="86"/>
    </row>
    <row r="41" spans="1:9" ht="30" customHeight="1" x14ac:dyDescent="0.2">
      <c r="B41" s="83"/>
      <c r="C41" s="88"/>
      <c r="D41" s="292" t="s">
        <v>101</v>
      </c>
      <c r="E41" s="292"/>
      <c r="F41" s="292"/>
      <c r="G41" s="89"/>
      <c r="H41" s="90"/>
    </row>
    <row r="42" spans="1:9" ht="12.75" customHeight="1" x14ac:dyDescent="0.2"/>
    <row r="43" spans="1:9" ht="12.75" x14ac:dyDescent="0.2">
      <c r="A43" s="92"/>
      <c r="B43" s="91" t="s">
        <v>102</v>
      </c>
      <c r="C43" s="92"/>
      <c r="D43" s="92"/>
      <c r="E43" s="300" t="s">
        <v>190</v>
      </c>
      <c r="F43" s="300"/>
      <c r="G43" s="300"/>
      <c r="H43" s="300"/>
      <c r="I43" s="300"/>
    </row>
    <row r="44" spans="1:9" ht="14.25" customHeight="1" x14ac:dyDescent="0.2">
      <c r="A44" s="92"/>
      <c r="B44" s="94" t="s">
        <v>104</v>
      </c>
      <c r="C44" s="53"/>
      <c r="D44" s="53"/>
      <c r="E44" s="305">
        <f>H33</f>
        <v>132</v>
      </c>
      <c r="F44" s="305"/>
      <c r="G44" s="305"/>
      <c r="H44" s="305"/>
      <c r="I44" s="305"/>
    </row>
    <row r="45" spans="1:9" ht="15.75" customHeight="1" x14ac:dyDescent="0.2">
      <c r="A45" s="53"/>
      <c r="B45" s="94" t="s">
        <v>191</v>
      </c>
      <c r="C45" s="53"/>
      <c r="D45" s="53"/>
      <c r="E45" s="305"/>
      <c r="F45" s="305"/>
      <c r="G45" s="305"/>
      <c r="H45" s="305"/>
      <c r="I45" s="305"/>
    </row>
    <row r="46" spans="1:9" ht="14.25" x14ac:dyDescent="0.2">
      <c r="A46" s="53"/>
      <c r="B46" s="94" t="s">
        <v>107</v>
      </c>
      <c r="C46" s="53"/>
      <c r="D46" s="53"/>
      <c r="E46" s="95"/>
      <c r="F46" s="95"/>
      <c r="G46" s="95"/>
      <c r="H46" s="95"/>
      <c r="I46" s="95"/>
    </row>
    <row r="47" spans="1:9" ht="14.25" x14ac:dyDescent="0.2">
      <c r="A47" s="53"/>
      <c r="B47" s="94" t="s">
        <v>114</v>
      </c>
      <c r="C47" s="96"/>
      <c r="D47" s="96"/>
      <c r="E47" s="97"/>
      <c r="F47" s="97"/>
      <c r="G47" s="97"/>
      <c r="H47" s="97"/>
      <c r="I47" s="95"/>
    </row>
    <row r="48" spans="1:9" ht="53.25" customHeight="1" x14ac:dyDescent="0.2">
      <c r="B48" s="284"/>
      <c r="C48" s="278"/>
      <c r="D48" s="278"/>
      <c r="E48" s="278"/>
      <c r="F48" s="278"/>
      <c r="G48" s="278"/>
      <c r="H48" s="278"/>
    </row>
    <row r="52" spans="6:7" ht="15.75" customHeight="1" x14ac:dyDescent="0.2">
      <c r="F52" s="62"/>
      <c r="G52" s="62"/>
    </row>
    <row r="53" spans="6:7" ht="15.75" customHeight="1" x14ac:dyDescent="0.2">
      <c r="F53" s="62"/>
      <c r="G53" s="62"/>
    </row>
    <row r="54" spans="6:7" ht="15.75" customHeight="1" x14ac:dyDescent="0.2">
      <c r="F54" s="62"/>
      <c r="G54" s="62"/>
    </row>
    <row r="57" spans="6:7" ht="15.75" customHeight="1" x14ac:dyDescent="0.2">
      <c r="F57" s="62"/>
      <c r="G57" s="62"/>
    </row>
    <row r="59" spans="6:7" ht="15.75" customHeight="1" x14ac:dyDescent="0.2">
      <c r="F59" s="62"/>
      <c r="G59" s="62"/>
    </row>
  </sheetData>
  <mergeCells count="21">
    <mergeCell ref="E43:I43"/>
    <mergeCell ref="E44:I45"/>
    <mergeCell ref="B48:H48"/>
    <mergeCell ref="C28:D28"/>
    <mergeCell ref="C29:D29"/>
    <mergeCell ref="C30:D30"/>
    <mergeCell ref="C32:D32"/>
    <mergeCell ref="C33:D33"/>
    <mergeCell ref="D41:F41"/>
    <mergeCell ref="C27:D27"/>
    <mergeCell ref="E3:H3"/>
    <mergeCell ref="B4:D6"/>
    <mergeCell ref="E4:H4"/>
    <mergeCell ref="E5:H5"/>
    <mergeCell ref="E6:H6"/>
    <mergeCell ref="B9:H9"/>
    <mergeCell ref="B18:E18"/>
    <mergeCell ref="B19:E19"/>
    <mergeCell ref="B20:E20"/>
    <mergeCell ref="B23:E23"/>
    <mergeCell ref="B24:H24"/>
  </mergeCells>
  <conditionalFormatting sqref="B26">
    <cfRule type="notContainsBlanks" dxfId="32" priority="1">
      <formula>LEN(TRIM(B26))&gt;0</formula>
    </cfRule>
  </conditionalFormatting>
  <hyperlinks>
    <hyperlink ref="B12" r:id="rId1" xr:uid="{3ACF450B-39C0-4312-AAFA-8540BCFE14A2}"/>
  </hyperlinks>
  <printOptions horizontalCentered="1" verticalCentered="1"/>
  <pageMargins left="0.39370078740157483" right="0.39370078740157483" top="0.19685039370078741" bottom="0.19685039370078741" header="0.31496062992125984" footer="0.31496062992125984"/>
  <pageSetup paperSize="9" scale="81" orientation="portrait" r:id="rId2"/>
  <drawing r:id="rId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356157-D924-46E2-AF8E-D17BB06E9CE0}">
  <sheetPr codeName="Sheet28">
    <tabColor theme="6" tint="0.79998168889431442"/>
    <outlinePr summaryBelow="0" summaryRight="0"/>
    <pageSetUpPr fitToPage="1"/>
  </sheetPr>
  <dimension ref="A1:N59"/>
  <sheetViews>
    <sheetView showGridLines="0" topLeftCell="A6" zoomScale="115" zoomScaleNormal="115" workbookViewId="0">
      <selection activeCell="H11" sqref="H11"/>
    </sheetView>
  </sheetViews>
  <sheetFormatPr defaultColWidth="14.42578125" defaultRowHeight="15.75" customHeight="1" x14ac:dyDescent="0.2"/>
  <cols>
    <col min="1" max="1" width="2.85546875" style="55" customWidth="1"/>
    <col min="2" max="3" width="14.42578125" style="55"/>
    <col min="4" max="4" width="21.42578125" style="55" customWidth="1"/>
    <col min="5" max="5" width="18.140625" style="55" bestFit="1" customWidth="1"/>
    <col min="6" max="6" width="16.42578125" style="55" customWidth="1"/>
    <col min="7" max="7" width="10.7109375" style="55" customWidth="1"/>
    <col min="8" max="8" width="16" style="55" customWidth="1"/>
    <col min="9" max="9" width="2.42578125" style="55" customWidth="1"/>
    <col min="10" max="16384" width="14.42578125" style="55"/>
  </cols>
  <sheetData>
    <row r="1" spans="1:10" ht="39" customHeight="1" x14ac:dyDescent="0.2">
      <c r="A1" s="54"/>
      <c r="B1" s="54"/>
      <c r="C1" s="54"/>
      <c r="D1" s="54"/>
      <c r="E1" s="54"/>
      <c r="F1" s="54"/>
      <c r="G1" s="54"/>
      <c r="H1" s="54"/>
      <c r="I1" s="54"/>
    </row>
    <row r="2" spans="1:10" x14ac:dyDescent="0.25">
      <c r="A2" s="54"/>
      <c r="B2" s="56"/>
      <c r="C2" s="56"/>
      <c r="D2" s="56"/>
      <c r="E2" s="57"/>
      <c r="F2" s="57"/>
      <c r="G2" s="57"/>
      <c r="H2" s="57"/>
      <c r="I2" s="56"/>
    </row>
    <row r="3" spans="1:10" ht="12.75" x14ac:dyDescent="0.2">
      <c r="A3" s="54"/>
      <c r="B3" s="56"/>
      <c r="C3" s="56"/>
      <c r="D3" s="56"/>
      <c r="E3" s="273"/>
      <c r="F3" s="274"/>
      <c r="G3" s="274"/>
      <c r="H3" s="274"/>
      <c r="I3" s="56"/>
    </row>
    <row r="4" spans="1:10" ht="12.75" x14ac:dyDescent="0.2">
      <c r="A4" s="54"/>
      <c r="B4" s="275" t="s">
        <v>83</v>
      </c>
      <c r="C4" s="276"/>
      <c r="D4" s="276"/>
      <c r="E4" s="277"/>
      <c r="F4" s="274"/>
      <c r="G4" s="274"/>
      <c r="H4" s="274"/>
      <c r="I4" s="56"/>
    </row>
    <row r="5" spans="1:10" ht="12.75" x14ac:dyDescent="0.2">
      <c r="A5" s="54"/>
      <c r="B5" s="276"/>
      <c r="C5" s="276"/>
      <c r="D5" s="276"/>
      <c r="E5" s="277"/>
      <c r="F5" s="274"/>
      <c r="G5" s="274"/>
      <c r="H5" s="274"/>
      <c r="I5" s="56"/>
    </row>
    <row r="6" spans="1:10" ht="12.75" x14ac:dyDescent="0.2">
      <c r="A6" s="54"/>
      <c r="B6" s="276"/>
      <c r="C6" s="276"/>
      <c r="D6" s="276"/>
      <c r="E6" s="277"/>
      <c r="F6" s="274"/>
      <c r="G6" s="274"/>
      <c r="H6" s="274"/>
      <c r="I6" s="56"/>
    </row>
    <row r="7" spans="1:10" ht="36.75" customHeight="1" x14ac:dyDescent="0.2">
      <c r="A7" s="54"/>
      <c r="B7" s="54"/>
      <c r="C7" s="54"/>
      <c r="D7" s="54"/>
      <c r="E7" s="54"/>
      <c r="F7" s="54"/>
      <c r="G7" s="54"/>
      <c r="H7" s="54"/>
      <c r="I7" s="54"/>
    </row>
    <row r="8" spans="1:10" ht="21.75" customHeight="1" x14ac:dyDescent="0.2">
      <c r="A8" s="58"/>
      <c r="B8" s="58"/>
      <c r="C8" s="58"/>
      <c r="D8" s="58"/>
      <c r="E8" s="58"/>
      <c r="F8" s="58"/>
      <c r="G8" s="58"/>
      <c r="H8" s="58"/>
      <c r="I8" s="58"/>
      <c r="J8" s="59"/>
    </row>
    <row r="9" spans="1:10" ht="15.75" customHeight="1" x14ac:dyDescent="0.2">
      <c r="B9" s="278"/>
      <c r="C9" s="278"/>
      <c r="D9" s="278"/>
      <c r="E9" s="278"/>
      <c r="F9" s="278"/>
      <c r="G9" s="278"/>
      <c r="H9" s="278"/>
      <c r="J9" s="116"/>
    </row>
    <row r="10" spans="1:10" ht="15" customHeight="1" x14ac:dyDescent="0.2">
      <c r="A10" s="98"/>
      <c r="B10" s="60" t="s">
        <v>84</v>
      </c>
      <c r="G10" s="60"/>
      <c r="H10" s="61" t="s">
        <v>85</v>
      </c>
    </row>
    <row r="11" spans="1:10" ht="14.25" x14ac:dyDescent="0.2">
      <c r="A11" s="98"/>
      <c r="B11" s="62" t="s">
        <v>86</v>
      </c>
      <c r="G11" s="62"/>
      <c r="H11" s="63" t="str">
        <f>"JE"&amp;J11</f>
        <v>JE1005</v>
      </c>
      <c r="J11" s="55">
        <v>1005</v>
      </c>
    </row>
    <row r="12" spans="1:10" ht="15" x14ac:dyDescent="0.2">
      <c r="A12" s="98"/>
      <c r="B12" s="62" t="s">
        <v>87</v>
      </c>
      <c r="G12" s="60"/>
      <c r="H12" s="61" t="s">
        <v>88</v>
      </c>
      <c r="J12" s="55">
        <v>7</v>
      </c>
    </row>
    <row r="13" spans="1:10" ht="14.25" x14ac:dyDescent="0.2">
      <c r="A13" s="98"/>
      <c r="B13" s="62"/>
      <c r="G13" s="64"/>
      <c r="H13" s="65">
        <v>44894</v>
      </c>
    </row>
    <row r="14" spans="1:10" ht="15" x14ac:dyDescent="0.2">
      <c r="A14" s="98"/>
      <c r="G14" s="60"/>
      <c r="H14" s="61" t="s">
        <v>89</v>
      </c>
    </row>
    <row r="15" spans="1:10" ht="14.25" x14ac:dyDescent="0.2">
      <c r="A15" s="98"/>
      <c r="G15" s="64"/>
      <c r="H15" s="65">
        <f>H13+J12</f>
        <v>44901</v>
      </c>
    </row>
    <row r="16" spans="1:10" ht="14.25" x14ac:dyDescent="0.2">
      <c r="A16" s="98"/>
      <c r="B16" s="62"/>
      <c r="F16" s="65"/>
      <c r="G16" s="65"/>
      <c r="H16" s="65"/>
    </row>
    <row r="17" spans="1:14" ht="14.25" x14ac:dyDescent="0.2">
      <c r="A17" s="98"/>
      <c r="F17" s="65"/>
      <c r="G17" s="65"/>
      <c r="H17" s="66"/>
    </row>
    <row r="18" spans="1:14" ht="22.5" customHeight="1" x14ac:dyDescent="0.2">
      <c r="A18" s="98"/>
      <c r="B18" s="279" t="s">
        <v>90</v>
      </c>
      <c r="C18" s="280"/>
      <c r="D18" s="280"/>
      <c r="E18" s="280"/>
      <c r="F18" s="65"/>
      <c r="G18" s="65"/>
      <c r="H18" s="66"/>
    </row>
    <row r="19" spans="1:14" ht="15" x14ac:dyDescent="0.2">
      <c r="A19" s="98"/>
      <c r="B19" s="295" t="s">
        <v>53</v>
      </c>
      <c r="C19" s="296"/>
      <c r="D19" s="296"/>
      <c r="E19" s="296"/>
      <c r="F19" s="65"/>
      <c r="G19" s="65"/>
      <c r="H19" s="66"/>
    </row>
    <row r="20" spans="1:14" ht="14.25" x14ac:dyDescent="0.2">
      <c r="A20" s="98"/>
      <c r="B20" s="301" t="s">
        <v>192</v>
      </c>
      <c r="C20" s="296"/>
      <c r="D20" s="296"/>
      <c r="E20" s="296"/>
      <c r="F20" s="65"/>
      <c r="G20" s="65"/>
      <c r="H20" s="66"/>
    </row>
    <row r="21" spans="1:14" ht="14.25" x14ac:dyDescent="0.2">
      <c r="A21" s="98"/>
      <c r="B21" s="62"/>
      <c r="C21" s="67"/>
      <c r="D21" s="67"/>
      <c r="E21" s="67"/>
      <c r="F21" s="65"/>
      <c r="G21" s="65"/>
      <c r="H21" s="66"/>
    </row>
    <row r="22" spans="1:14" ht="14.25" x14ac:dyDescent="0.2">
      <c r="A22" s="98"/>
      <c r="B22" s="62"/>
      <c r="C22" s="67"/>
      <c r="D22" s="67"/>
      <c r="E22" s="67"/>
      <c r="F22" s="65"/>
      <c r="G22" s="65"/>
      <c r="H22" s="66"/>
    </row>
    <row r="23" spans="1:14" ht="22.5" customHeight="1" x14ac:dyDescent="0.2">
      <c r="A23" s="98"/>
      <c r="B23" s="282"/>
      <c r="C23" s="280"/>
      <c r="D23" s="280"/>
      <c r="E23" s="280"/>
      <c r="F23" s="67"/>
      <c r="G23" s="67"/>
      <c r="H23" s="67"/>
    </row>
    <row r="24" spans="1:14" ht="27.75" customHeight="1" x14ac:dyDescent="0.2">
      <c r="B24" s="280"/>
      <c r="C24" s="280"/>
      <c r="D24" s="280"/>
      <c r="E24" s="280"/>
      <c r="F24" s="280"/>
      <c r="G24" s="280"/>
      <c r="H24" s="280"/>
    </row>
    <row r="25" spans="1:14" ht="27.75" customHeight="1" x14ac:dyDescent="0.2">
      <c r="B25" s="67"/>
      <c r="C25" s="67"/>
      <c r="D25" s="67"/>
      <c r="E25" s="67"/>
      <c r="F25" s="67"/>
      <c r="G25" s="67"/>
      <c r="H25" s="67"/>
    </row>
    <row r="26" spans="1:14" ht="15.75" customHeight="1" x14ac:dyDescent="0.2">
      <c r="B26" s="67"/>
      <c r="C26" s="67"/>
      <c r="D26" s="67"/>
      <c r="E26" s="67"/>
      <c r="F26" s="67"/>
      <c r="G26" s="67"/>
      <c r="H26" s="67"/>
    </row>
    <row r="27" spans="1:14" ht="15" x14ac:dyDescent="0.25">
      <c r="B27" s="68" t="s">
        <v>88</v>
      </c>
      <c r="C27" s="272" t="s">
        <v>92</v>
      </c>
      <c r="D27" s="272"/>
      <c r="E27" s="70" t="s">
        <v>110</v>
      </c>
      <c r="F27" s="70" t="s">
        <v>94</v>
      </c>
      <c r="G27" s="70" t="s">
        <v>18</v>
      </c>
      <c r="H27" s="70" t="s">
        <v>121</v>
      </c>
    </row>
    <row r="28" spans="1:14" ht="25.5" customHeight="1" x14ac:dyDescent="0.2">
      <c r="B28" s="71">
        <v>44893</v>
      </c>
      <c r="C28" s="290" t="s">
        <v>172</v>
      </c>
      <c r="D28" s="280"/>
      <c r="E28" s="99">
        <v>40</v>
      </c>
      <c r="F28" s="108">
        <v>2</v>
      </c>
      <c r="G28" s="140">
        <v>0.1</v>
      </c>
      <c r="H28" s="99">
        <f>E28*F28</f>
        <v>80</v>
      </c>
      <c r="L28" s="145"/>
      <c r="M28" s="145"/>
      <c r="N28" s="145"/>
    </row>
    <row r="29" spans="1:14" ht="30" customHeight="1" x14ac:dyDescent="0.2">
      <c r="B29" s="76"/>
      <c r="C29" s="286"/>
      <c r="D29" s="287"/>
      <c r="E29" s="77"/>
      <c r="F29" s="103"/>
      <c r="G29" s="103"/>
      <c r="H29" s="77"/>
      <c r="L29" s="145"/>
      <c r="M29" s="145"/>
      <c r="N29" s="145"/>
    </row>
    <row r="30" spans="1:14" ht="30" customHeight="1" x14ac:dyDescent="0.2">
      <c r="B30" s="72"/>
      <c r="C30" s="290"/>
      <c r="D30" s="280"/>
      <c r="E30" s="63"/>
      <c r="F30" s="79" t="s">
        <v>97</v>
      </c>
      <c r="G30" s="79"/>
      <c r="H30" s="80">
        <f>SUM(H28:H29)</f>
        <v>80</v>
      </c>
      <c r="L30" s="145"/>
      <c r="M30" s="145"/>
      <c r="N30" s="145"/>
    </row>
    <row r="31" spans="1:14" ht="30" customHeight="1" x14ac:dyDescent="0.2">
      <c r="B31" s="72"/>
      <c r="C31" s="72"/>
      <c r="D31" s="67"/>
      <c r="E31" s="63"/>
      <c r="F31" s="79" t="s">
        <v>125</v>
      </c>
      <c r="G31" s="79"/>
      <c r="H31" s="80">
        <f>G28*H30</f>
        <v>8</v>
      </c>
      <c r="L31" s="145"/>
      <c r="M31" s="145"/>
      <c r="N31" s="145"/>
    </row>
    <row r="32" spans="1:14" ht="30" customHeight="1" x14ac:dyDescent="0.2">
      <c r="B32" s="72"/>
      <c r="C32" s="290"/>
      <c r="D32" s="280"/>
      <c r="E32" s="63"/>
      <c r="F32" s="81" t="s">
        <v>99</v>
      </c>
      <c r="G32" s="81"/>
      <c r="H32" s="82"/>
    </row>
    <row r="33" spans="1:9" ht="30" customHeight="1" x14ac:dyDescent="0.25">
      <c r="B33" s="83"/>
      <c r="C33" s="291"/>
      <c r="D33" s="278"/>
      <c r="E33" s="84"/>
      <c r="F33" s="85" t="s">
        <v>100</v>
      </c>
      <c r="G33" s="85"/>
      <c r="H33" s="86">
        <f>SUM(H30:H32)</f>
        <v>88</v>
      </c>
    </row>
    <row r="34" spans="1:9" ht="30" customHeight="1" x14ac:dyDescent="0.25">
      <c r="B34" s="83"/>
      <c r="C34" s="83"/>
      <c r="E34" s="84"/>
      <c r="F34" s="85"/>
      <c r="G34" s="85"/>
      <c r="H34" s="87"/>
    </row>
    <row r="35" spans="1:9" ht="30" customHeight="1" x14ac:dyDescent="0.25">
      <c r="B35" s="83"/>
      <c r="C35" s="83"/>
      <c r="E35" s="84"/>
      <c r="F35" s="85"/>
      <c r="G35" s="85"/>
      <c r="H35" s="86"/>
    </row>
    <row r="36" spans="1:9" ht="30" customHeight="1" x14ac:dyDescent="0.25">
      <c r="B36" s="83"/>
      <c r="C36" s="83"/>
      <c r="E36" s="84"/>
      <c r="F36" s="85"/>
      <c r="G36" s="85"/>
      <c r="H36" s="86"/>
    </row>
    <row r="37" spans="1:9" ht="30" customHeight="1" x14ac:dyDescent="0.25">
      <c r="B37" s="83"/>
      <c r="C37" s="83"/>
      <c r="E37" s="84"/>
      <c r="F37" s="85"/>
      <c r="G37" s="85"/>
      <c r="H37" s="86"/>
    </row>
    <row r="38" spans="1:9" ht="30" customHeight="1" x14ac:dyDescent="0.25">
      <c r="B38" s="83"/>
      <c r="C38" s="83"/>
      <c r="E38" s="84"/>
      <c r="F38" s="85"/>
      <c r="G38" s="85"/>
      <c r="H38" s="86"/>
    </row>
    <row r="39" spans="1:9" ht="30" customHeight="1" x14ac:dyDescent="0.25">
      <c r="B39" s="83"/>
      <c r="C39" s="83"/>
      <c r="E39" s="84"/>
      <c r="F39" s="85"/>
      <c r="G39" s="85"/>
      <c r="H39" s="86"/>
    </row>
    <row r="40" spans="1:9" ht="30" customHeight="1" x14ac:dyDescent="0.25">
      <c r="B40" s="83"/>
      <c r="C40" s="83"/>
      <c r="E40" s="84"/>
      <c r="F40" s="85"/>
      <c r="G40" s="85"/>
      <c r="H40" s="86"/>
    </row>
    <row r="41" spans="1:9" ht="30" customHeight="1" x14ac:dyDescent="0.2">
      <c r="B41" s="83"/>
      <c r="C41" s="88"/>
      <c r="D41" s="292" t="s">
        <v>101</v>
      </c>
      <c r="E41" s="292"/>
      <c r="F41" s="292"/>
      <c r="G41" s="89"/>
      <c r="H41" s="90"/>
    </row>
    <row r="42" spans="1:9" ht="12.75" customHeight="1" x14ac:dyDescent="0.2"/>
    <row r="43" spans="1:9" ht="12.75" x14ac:dyDescent="0.2">
      <c r="A43" s="92"/>
      <c r="B43" s="91" t="s">
        <v>102</v>
      </c>
      <c r="C43" s="92"/>
      <c r="D43" s="92"/>
      <c r="E43" s="300" t="s">
        <v>190</v>
      </c>
      <c r="F43" s="300"/>
      <c r="G43" s="300"/>
      <c r="H43" s="300"/>
      <c r="I43" s="300"/>
    </row>
    <row r="44" spans="1:9" ht="14.25" customHeight="1" x14ac:dyDescent="0.2">
      <c r="A44" s="92"/>
      <c r="B44" s="94" t="s">
        <v>104</v>
      </c>
      <c r="C44" s="53"/>
      <c r="D44" s="53"/>
      <c r="E44" s="305">
        <f>H33</f>
        <v>88</v>
      </c>
      <c r="F44" s="305"/>
      <c r="G44" s="305"/>
      <c r="H44" s="305"/>
      <c r="I44" s="305"/>
    </row>
    <row r="45" spans="1:9" ht="15.75" customHeight="1" x14ac:dyDescent="0.2">
      <c r="A45" s="53"/>
      <c r="B45" s="94" t="s">
        <v>191</v>
      </c>
      <c r="C45" s="53"/>
      <c r="D45" s="53"/>
      <c r="E45" s="305"/>
      <c r="F45" s="305"/>
      <c r="G45" s="305"/>
      <c r="H45" s="305"/>
      <c r="I45" s="305"/>
    </row>
    <row r="46" spans="1:9" ht="14.25" x14ac:dyDescent="0.2">
      <c r="A46" s="53"/>
      <c r="B46" s="94" t="s">
        <v>107</v>
      </c>
      <c r="C46" s="53"/>
      <c r="D46" s="53"/>
      <c r="E46" s="95"/>
      <c r="F46" s="95"/>
      <c r="G46" s="95"/>
      <c r="H46" s="95"/>
      <c r="I46" s="95"/>
    </row>
    <row r="47" spans="1:9" ht="14.25" x14ac:dyDescent="0.2">
      <c r="A47" s="53"/>
      <c r="B47" s="94" t="s">
        <v>114</v>
      </c>
      <c r="C47" s="96"/>
      <c r="D47" s="96"/>
      <c r="E47" s="97"/>
      <c r="F47" s="97"/>
      <c r="G47" s="97"/>
      <c r="H47" s="97"/>
      <c r="I47" s="95"/>
    </row>
    <row r="48" spans="1:9" ht="53.25" customHeight="1" x14ac:dyDescent="0.2">
      <c r="B48" s="284"/>
      <c r="C48" s="278"/>
      <c r="D48" s="278"/>
      <c r="E48" s="278"/>
      <c r="F48" s="278"/>
      <c r="G48" s="278"/>
      <c r="H48" s="278"/>
    </row>
    <row r="52" spans="6:7" ht="15.75" customHeight="1" x14ac:dyDescent="0.2">
      <c r="F52" s="62"/>
      <c r="G52" s="62"/>
    </row>
    <row r="53" spans="6:7" ht="15.75" customHeight="1" x14ac:dyDescent="0.2">
      <c r="F53" s="62"/>
      <c r="G53" s="62"/>
    </row>
    <row r="54" spans="6:7" ht="15.75" customHeight="1" x14ac:dyDescent="0.2">
      <c r="F54" s="62"/>
      <c r="G54" s="62"/>
    </row>
    <row r="57" spans="6:7" ht="15.75" customHeight="1" x14ac:dyDescent="0.2">
      <c r="F57" s="62"/>
      <c r="G57" s="62"/>
    </row>
    <row r="59" spans="6:7" ht="15.75" customHeight="1" x14ac:dyDescent="0.2">
      <c r="F59" s="62"/>
      <c r="G59" s="62"/>
    </row>
  </sheetData>
  <mergeCells count="21">
    <mergeCell ref="E43:I43"/>
    <mergeCell ref="E44:I45"/>
    <mergeCell ref="B48:H48"/>
    <mergeCell ref="C28:D28"/>
    <mergeCell ref="C29:D29"/>
    <mergeCell ref="C30:D30"/>
    <mergeCell ref="C32:D32"/>
    <mergeCell ref="C33:D33"/>
    <mergeCell ref="D41:F41"/>
    <mergeCell ref="C27:D27"/>
    <mergeCell ref="E3:H3"/>
    <mergeCell ref="B4:D6"/>
    <mergeCell ref="E4:H4"/>
    <mergeCell ref="E5:H5"/>
    <mergeCell ref="E6:H6"/>
    <mergeCell ref="B9:H9"/>
    <mergeCell ref="B18:E18"/>
    <mergeCell ref="B19:E19"/>
    <mergeCell ref="B20:E20"/>
    <mergeCell ref="B23:E23"/>
    <mergeCell ref="B24:H24"/>
  </mergeCells>
  <conditionalFormatting sqref="B26">
    <cfRule type="notContainsBlanks" dxfId="31" priority="1">
      <formula>LEN(TRIM(B26))&gt;0</formula>
    </cfRule>
  </conditionalFormatting>
  <hyperlinks>
    <hyperlink ref="B12" r:id="rId1" xr:uid="{20228EF6-94BC-4EFE-9F03-4C30D65A5858}"/>
  </hyperlinks>
  <printOptions horizontalCentered="1" verticalCentered="1"/>
  <pageMargins left="0.39370078740157483" right="0.39370078740157483" top="0.19685039370078741" bottom="0.19685039370078741" header="0.31496062992125984" footer="0.31496062992125984"/>
  <pageSetup paperSize="9" scale="81" orientation="portrait" r:id="rId2"/>
  <drawing r:id="rId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1D39B6-886D-48D1-99D7-8B43C515AE9C}">
  <sheetPr codeName="Sheet29">
    <tabColor theme="6" tint="0.79998168889431442"/>
    <outlinePr summaryBelow="0" summaryRight="0"/>
    <pageSetUpPr fitToPage="1"/>
  </sheetPr>
  <dimension ref="A1:M58"/>
  <sheetViews>
    <sheetView showGridLines="0" topLeftCell="A7" zoomScale="130" zoomScaleNormal="130" workbookViewId="0">
      <selection activeCell="H11" sqref="H11"/>
    </sheetView>
  </sheetViews>
  <sheetFormatPr defaultColWidth="14.42578125" defaultRowHeight="15.75" customHeight="1" x14ac:dyDescent="0.2"/>
  <cols>
    <col min="1" max="1" width="2.85546875" style="55" customWidth="1"/>
    <col min="2" max="3" width="14.42578125" style="55"/>
    <col min="4" max="4" width="31" style="55" customWidth="1"/>
    <col min="5" max="5" width="18.140625" style="55" bestFit="1" customWidth="1"/>
    <col min="6" max="6" width="15.140625" style="55" customWidth="1"/>
    <col min="7" max="7" width="9.7109375" style="55" customWidth="1"/>
    <col min="8" max="8" width="13.7109375" style="55" bestFit="1" customWidth="1"/>
    <col min="9" max="9" width="3.28515625" style="55" customWidth="1"/>
    <col min="10" max="16384" width="14.42578125" style="55"/>
  </cols>
  <sheetData>
    <row r="1" spans="1:13" ht="39" customHeight="1" x14ac:dyDescent="0.2">
      <c r="A1" s="54"/>
      <c r="B1" s="54"/>
      <c r="C1" s="54"/>
      <c r="D1" s="54"/>
      <c r="E1" s="54"/>
      <c r="F1" s="54"/>
      <c r="G1" s="54"/>
      <c r="H1" s="54"/>
      <c r="I1" s="54"/>
    </row>
    <row r="2" spans="1:13" x14ac:dyDescent="0.25">
      <c r="A2" s="54"/>
      <c r="B2" s="56"/>
      <c r="C2" s="56"/>
      <c r="D2" s="56"/>
      <c r="E2" s="57"/>
      <c r="F2" s="57"/>
      <c r="G2" s="57"/>
      <c r="H2" s="57"/>
      <c r="I2" s="56"/>
    </row>
    <row r="3" spans="1:13" ht="12.75" x14ac:dyDescent="0.2">
      <c r="A3" s="54"/>
      <c r="B3" s="56"/>
      <c r="C3" s="56"/>
      <c r="D3" s="56"/>
      <c r="E3" s="273"/>
      <c r="F3" s="274"/>
      <c r="G3" s="274"/>
      <c r="H3" s="274"/>
      <c r="I3" s="56"/>
    </row>
    <row r="4" spans="1:13" ht="12.75" x14ac:dyDescent="0.2">
      <c r="A4" s="54"/>
      <c r="B4" s="275" t="s">
        <v>83</v>
      </c>
      <c r="C4" s="276"/>
      <c r="D4" s="276"/>
      <c r="E4" s="277"/>
      <c r="F4" s="274"/>
      <c r="G4" s="274"/>
      <c r="H4" s="274"/>
      <c r="I4" s="56"/>
    </row>
    <row r="5" spans="1:13" ht="12.75" x14ac:dyDescent="0.2">
      <c r="A5" s="54"/>
      <c r="B5" s="276"/>
      <c r="C5" s="276"/>
      <c r="D5" s="276"/>
      <c r="E5" s="277"/>
      <c r="F5" s="274"/>
      <c r="G5" s="274"/>
      <c r="H5" s="274"/>
      <c r="I5" s="56"/>
    </row>
    <row r="6" spans="1:13" ht="12.75" x14ac:dyDescent="0.2">
      <c r="A6" s="54"/>
      <c r="B6" s="276"/>
      <c r="C6" s="276"/>
      <c r="D6" s="276"/>
      <c r="E6" s="277"/>
      <c r="F6" s="274"/>
      <c r="G6" s="274"/>
      <c r="H6" s="274"/>
      <c r="I6" s="56"/>
    </row>
    <row r="7" spans="1:13" ht="36.75" customHeight="1" x14ac:dyDescent="0.2">
      <c r="A7" s="54"/>
      <c r="B7" s="54"/>
      <c r="C7" s="54"/>
      <c r="D7" s="54"/>
      <c r="E7" s="54"/>
      <c r="F7" s="54"/>
      <c r="G7" s="54"/>
      <c r="H7" s="54"/>
      <c r="I7" s="54"/>
    </row>
    <row r="8" spans="1:13" ht="21.75" customHeight="1" x14ac:dyDescent="0.2">
      <c r="A8" s="58"/>
      <c r="B8" s="58"/>
      <c r="C8" s="58"/>
      <c r="D8" s="58"/>
      <c r="E8" s="58"/>
      <c r="F8" s="58"/>
      <c r="G8" s="58"/>
      <c r="H8" s="58"/>
      <c r="I8" s="58"/>
      <c r="J8" s="59"/>
    </row>
    <row r="9" spans="1:13" ht="15.75" customHeight="1" x14ac:dyDescent="0.2">
      <c r="B9" s="278"/>
      <c r="C9" s="278"/>
      <c r="D9" s="278"/>
      <c r="E9" s="278"/>
      <c r="F9" s="278"/>
      <c r="G9" s="278"/>
      <c r="H9" s="278"/>
    </row>
    <row r="10" spans="1:13" ht="15" customHeight="1" x14ac:dyDescent="0.2">
      <c r="A10" s="98"/>
      <c r="B10" s="60" t="s">
        <v>84</v>
      </c>
      <c r="G10" s="60"/>
      <c r="H10" s="61" t="s">
        <v>85</v>
      </c>
    </row>
    <row r="11" spans="1:13" ht="14.25" x14ac:dyDescent="0.2">
      <c r="A11" s="98"/>
      <c r="B11" s="62" t="s">
        <v>86</v>
      </c>
      <c r="G11" s="62"/>
      <c r="H11" s="63" t="str">
        <f>"KD"&amp;J11</f>
        <v>KD1026</v>
      </c>
      <c r="J11" s="55">
        <v>1026</v>
      </c>
    </row>
    <row r="12" spans="1:13" ht="15" x14ac:dyDescent="0.2">
      <c r="A12" s="98"/>
      <c r="B12" s="62" t="s">
        <v>87</v>
      </c>
      <c r="G12" s="60"/>
      <c r="H12" s="61" t="s">
        <v>88</v>
      </c>
      <c r="J12" s="55">
        <v>7</v>
      </c>
    </row>
    <row r="13" spans="1:13" ht="14.25" x14ac:dyDescent="0.2">
      <c r="A13" s="98"/>
      <c r="B13" s="62"/>
      <c r="G13" s="64"/>
      <c r="H13" s="65">
        <v>44945</v>
      </c>
    </row>
    <row r="14" spans="1:13" ht="15" x14ac:dyDescent="0.2">
      <c r="A14" s="98"/>
      <c r="G14" s="60"/>
      <c r="H14" s="61" t="s">
        <v>89</v>
      </c>
      <c r="M14" s="55">
        <f>0.25*60</f>
        <v>15</v>
      </c>
    </row>
    <row r="15" spans="1:13" ht="14.25" x14ac:dyDescent="0.2">
      <c r="A15" s="98"/>
      <c r="G15" s="64"/>
      <c r="H15" s="65">
        <f>H13+J12</f>
        <v>44952</v>
      </c>
    </row>
    <row r="16" spans="1:13" ht="14.25" x14ac:dyDescent="0.2">
      <c r="A16" s="98"/>
      <c r="B16" s="62"/>
      <c r="G16" s="65"/>
      <c r="H16" s="65"/>
    </row>
    <row r="17" spans="1:8" ht="14.25" x14ac:dyDescent="0.2">
      <c r="A17" s="98"/>
      <c r="F17" s="65"/>
      <c r="G17" s="65"/>
      <c r="H17" s="66"/>
    </row>
    <row r="18" spans="1:8" ht="22.5" customHeight="1" x14ac:dyDescent="0.2">
      <c r="A18" s="98"/>
      <c r="B18" s="279" t="s">
        <v>90</v>
      </c>
      <c r="C18" s="280"/>
      <c r="D18" s="280"/>
      <c r="E18" s="280"/>
      <c r="F18" s="65"/>
      <c r="G18" s="65"/>
      <c r="H18" s="66"/>
    </row>
    <row r="19" spans="1:8" ht="15" x14ac:dyDescent="0.2">
      <c r="A19" s="98"/>
      <c r="B19" s="295" t="s">
        <v>33</v>
      </c>
      <c r="C19" s="296"/>
      <c r="D19" s="296"/>
      <c r="E19" s="296"/>
      <c r="F19" s="65"/>
      <c r="G19" s="65"/>
      <c r="H19" s="66"/>
    </row>
    <row r="20" spans="1:8" ht="14.25" x14ac:dyDescent="0.2">
      <c r="A20" s="98"/>
      <c r="B20" s="301" t="s">
        <v>193</v>
      </c>
      <c r="C20" s="296"/>
      <c r="D20" s="296"/>
      <c r="E20" s="296"/>
      <c r="F20" s="65"/>
      <c r="G20" s="65"/>
      <c r="H20" s="66"/>
    </row>
    <row r="21" spans="1:8" ht="14.25" x14ac:dyDescent="0.2">
      <c r="A21" s="98"/>
      <c r="B21" s="62"/>
      <c r="C21" s="67"/>
      <c r="D21" s="67"/>
      <c r="E21" s="67"/>
      <c r="F21" s="65"/>
      <c r="G21" s="65"/>
      <c r="H21" s="66"/>
    </row>
    <row r="22" spans="1:8" ht="14.25" x14ac:dyDescent="0.2">
      <c r="A22" s="98"/>
      <c r="B22" s="62"/>
      <c r="C22" s="67"/>
      <c r="D22" s="67"/>
      <c r="E22" s="67"/>
      <c r="F22" s="65"/>
      <c r="G22" s="65"/>
      <c r="H22" s="66"/>
    </row>
    <row r="23" spans="1:8" ht="22.5" customHeight="1" x14ac:dyDescent="0.2">
      <c r="A23" s="98"/>
      <c r="B23" s="282"/>
      <c r="C23" s="280"/>
      <c r="D23" s="280"/>
      <c r="E23" s="280"/>
      <c r="F23" s="67"/>
      <c r="G23" s="67"/>
      <c r="H23" s="67"/>
    </row>
    <row r="24" spans="1:8" ht="27.75" customHeight="1" x14ac:dyDescent="0.2">
      <c r="B24" s="280"/>
      <c r="C24" s="280"/>
      <c r="D24" s="280"/>
      <c r="E24" s="280"/>
      <c r="F24" s="280"/>
      <c r="G24" s="280"/>
      <c r="H24" s="280"/>
    </row>
    <row r="25" spans="1:8" ht="27.75" customHeight="1" x14ac:dyDescent="0.2">
      <c r="B25" s="67"/>
      <c r="C25" s="67"/>
      <c r="D25" s="67"/>
      <c r="E25" s="67"/>
      <c r="F25" s="67"/>
      <c r="G25" s="67"/>
      <c r="H25" s="67"/>
    </row>
    <row r="26" spans="1:8" ht="15.75" customHeight="1" x14ac:dyDescent="0.2">
      <c r="B26" s="67"/>
      <c r="C26" s="67"/>
      <c r="D26" s="67"/>
      <c r="E26" s="67"/>
      <c r="F26" s="67"/>
      <c r="G26" s="67"/>
      <c r="H26" s="67"/>
    </row>
    <row r="27" spans="1:8" ht="15" x14ac:dyDescent="0.25">
      <c r="B27" s="68" t="s">
        <v>88</v>
      </c>
      <c r="C27" s="272" t="s">
        <v>92</v>
      </c>
      <c r="D27" s="272"/>
      <c r="E27" s="70" t="s">
        <v>110</v>
      </c>
      <c r="F27" s="70" t="s">
        <v>111</v>
      </c>
      <c r="G27" s="70" t="s">
        <v>18</v>
      </c>
      <c r="H27" s="70" t="s">
        <v>95</v>
      </c>
    </row>
    <row r="28" spans="1:8" ht="31.5" customHeight="1" x14ac:dyDescent="0.2">
      <c r="B28" s="71">
        <v>45216</v>
      </c>
      <c r="C28" s="293" t="s">
        <v>122</v>
      </c>
      <c r="D28" s="294"/>
      <c r="E28" s="99">
        <v>38</v>
      </c>
      <c r="F28" s="100">
        <v>3.25</v>
      </c>
      <c r="G28" s="101">
        <v>0.1</v>
      </c>
      <c r="H28" s="99">
        <f>E28*F28</f>
        <v>123.5</v>
      </c>
    </row>
    <row r="29" spans="1:8" ht="19.5" customHeight="1" x14ac:dyDescent="0.2">
      <c r="B29" s="102"/>
      <c r="C29" s="286"/>
      <c r="D29" s="287"/>
      <c r="E29" s="77"/>
      <c r="F29" s="103"/>
      <c r="G29" s="103"/>
      <c r="H29" s="77"/>
    </row>
    <row r="30" spans="1:8" ht="30" customHeight="1" x14ac:dyDescent="0.2">
      <c r="B30" s="72"/>
      <c r="C30" s="290"/>
      <c r="D30" s="280"/>
      <c r="E30" s="63"/>
      <c r="F30" s="79"/>
      <c r="G30" s="79" t="s">
        <v>97</v>
      </c>
      <c r="H30" s="80">
        <f>SUM(H28:H29)</f>
        <v>123.5</v>
      </c>
    </row>
    <row r="31" spans="1:8" ht="30" customHeight="1" x14ac:dyDescent="0.2">
      <c r="B31" s="72"/>
      <c r="C31" s="72"/>
      <c r="D31" s="67"/>
      <c r="E31" s="63"/>
      <c r="F31" s="79"/>
      <c r="G31" s="79" t="s">
        <v>113</v>
      </c>
      <c r="H31" s="80">
        <f>G28*H30</f>
        <v>12.350000000000001</v>
      </c>
    </row>
    <row r="32" spans="1:8" ht="30" customHeight="1" x14ac:dyDescent="0.2">
      <c r="B32" s="72"/>
      <c r="C32" s="290"/>
      <c r="D32" s="280"/>
      <c r="E32" s="63"/>
      <c r="F32" s="81"/>
      <c r="G32" s="81" t="s">
        <v>99</v>
      </c>
      <c r="H32" s="82">
        <v>0</v>
      </c>
    </row>
    <row r="33" spans="1:9" ht="30" customHeight="1" x14ac:dyDescent="0.25">
      <c r="B33" s="83"/>
      <c r="C33" s="291"/>
      <c r="D33" s="278"/>
      <c r="E33" s="84"/>
      <c r="F33" s="85"/>
      <c r="G33" s="85" t="s">
        <v>100</v>
      </c>
      <c r="H33" s="86">
        <f>SUM(H30:H32)</f>
        <v>135.85</v>
      </c>
    </row>
    <row r="34" spans="1:9" ht="30" customHeight="1" x14ac:dyDescent="0.25">
      <c r="B34" s="83"/>
      <c r="C34" s="83"/>
      <c r="E34" s="84"/>
      <c r="F34" s="85"/>
      <c r="G34" s="85"/>
      <c r="H34" s="87"/>
    </row>
    <row r="35" spans="1:9" ht="30" customHeight="1" x14ac:dyDescent="0.25">
      <c r="B35" s="83"/>
      <c r="C35" s="83"/>
      <c r="E35" s="84"/>
      <c r="F35" s="85"/>
      <c r="G35" s="85"/>
      <c r="H35" s="86"/>
    </row>
    <row r="36" spans="1:9" ht="30" customHeight="1" x14ac:dyDescent="0.25">
      <c r="B36" s="83"/>
      <c r="C36" s="83"/>
      <c r="E36" s="84"/>
      <c r="F36" s="85"/>
      <c r="G36" s="85"/>
      <c r="H36" s="86"/>
    </row>
    <row r="37" spans="1:9" ht="30" customHeight="1" x14ac:dyDescent="0.25">
      <c r="B37" s="83"/>
      <c r="C37" s="83"/>
      <c r="E37" s="84"/>
      <c r="F37" s="85"/>
      <c r="G37" s="85"/>
      <c r="H37" s="86"/>
    </row>
    <row r="38" spans="1:9" ht="30" customHeight="1" x14ac:dyDescent="0.25">
      <c r="B38" s="83"/>
      <c r="C38" s="83"/>
      <c r="E38" s="84"/>
      <c r="F38" s="85"/>
      <c r="G38" s="85"/>
      <c r="H38" s="86"/>
    </row>
    <row r="39" spans="1:9" ht="30" customHeight="1" x14ac:dyDescent="0.25">
      <c r="B39" s="83"/>
      <c r="C39" s="83"/>
      <c r="E39" s="84"/>
      <c r="F39" s="85"/>
      <c r="G39" s="85"/>
      <c r="H39" s="86"/>
    </row>
    <row r="40" spans="1:9" ht="30" customHeight="1" x14ac:dyDescent="0.2">
      <c r="B40" s="83"/>
      <c r="C40" s="88"/>
      <c r="D40" s="292" t="s">
        <v>101</v>
      </c>
      <c r="E40" s="292"/>
      <c r="F40" s="292"/>
      <c r="G40" s="89"/>
      <c r="H40" s="90"/>
    </row>
    <row r="41" spans="1:9" ht="12.75" customHeight="1" x14ac:dyDescent="0.2"/>
    <row r="42" spans="1:9" ht="12.75" x14ac:dyDescent="0.2">
      <c r="A42" s="92"/>
      <c r="B42" s="91" t="s">
        <v>102</v>
      </c>
      <c r="C42" s="92"/>
      <c r="D42" s="92"/>
      <c r="E42" s="104"/>
      <c r="F42" s="95"/>
      <c r="G42" s="95"/>
      <c r="H42" s="105" t="s">
        <v>103</v>
      </c>
      <c r="I42" s="106"/>
    </row>
    <row r="43" spans="1:9" ht="14.25" customHeight="1" x14ac:dyDescent="0.2">
      <c r="A43" s="92"/>
      <c r="B43" s="94" t="s">
        <v>104</v>
      </c>
      <c r="C43" s="53"/>
      <c r="D43" s="53"/>
      <c r="E43" s="104"/>
      <c r="F43" s="104"/>
      <c r="G43" s="283">
        <f>H33</f>
        <v>135.85</v>
      </c>
      <c r="H43" s="283"/>
      <c r="I43" s="298"/>
    </row>
    <row r="44" spans="1:9" ht="14.25" x14ac:dyDescent="0.2">
      <c r="A44" s="53"/>
      <c r="B44" s="94" t="s">
        <v>106</v>
      </c>
      <c r="C44" s="53"/>
      <c r="D44" s="53"/>
      <c r="E44" s="104"/>
      <c r="F44" s="104"/>
      <c r="G44" s="283"/>
      <c r="H44" s="283"/>
      <c r="I44" s="298"/>
    </row>
    <row r="45" spans="1:9" ht="14.25" x14ac:dyDescent="0.2">
      <c r="A45" s="53"/>
      <c r="B45" s="94" t="s">
        <v>107</v>
      </c>
      <c r="C45" s="53"/>
      <c r="D45" s="53"/>
      <c r="E45" s="95"/>
      <c r="F45" s="95"/>
      <c r="G45" s="95"/>
      <c r="H45" s="95"/>
      <c r="I45" s="95"/>
    </row>
    <row r="46" spans="1:9" ht="14.25" x14ac:dyDescent="0.2">
      <c r="A46" s="53"/>
      <c r="B46" s="94" t="s">
        <v>114</v>
      </c>
      <c r="C46" s="96"/>
      <c r="D46" s="96"/>
      <c r="E46" s="97"/>
      <c r="F46" s="97"/>
      <c r="G46" s="97"/>
      <c r="H46" s="97"/>
      <c r="I46" s="95"/>
    </row>
    <row r="47" spans="1:9" ht="53.25" customHeight="1" x14ac:dyDescent="0.2">
      <c r="B47" s="284"/>
      <c r="C47" s="278"/>
      <c r="D47" s="278"/>
      <c r="E47" s="278"/>
      <c r="F47" s="278"/>
      <c r="G47" s="278"/>
      <c r="H47" s="278"/>
    </row>
    <row r="51" spans="6:7" ht="15.75" customHeight="1" x14ac:dyDescent="0.2">
      <c r="F51" s="62"/>
      <c r="G51" s="62"/>
    </row>
    <row r="52" spans="6:7" ht="15.75" customHeight="1" x14ac:dyDescent="0.2">
      <c r="F52" s="62"/>
      <c r="G52" s="62"/>
    </row>
    <row r="53" spans="6:7" ht="15.75" customHeight="1" x14ac:dyDescent="0.2">
      <c r="F53" s="62"/>
      <c r="G53" s="62"/>
    </row>
    <row r="56" spans="6:7" ht="15.75" customHeight="1" x14ac:dyDescent="0.2">
      <c r="F56" s="62"/>
      <c r="G56" s="62"/>
    </row>
    <row r="58" spans="6:7" ht="15.75" customHeight="1" x14ac:dyDescent="0.2">
      <c r="F58" s="62"/>
      <c r="G58" s="62"/>
    </row>
  </sheetData>
  <mergeCells count="21">
    <mergeCell ref="G43:H44"/>
    <mergeCell ref="I43:I44"/>
    <mergeCell ref="B47:H47"/>
    <mergeCell ref="C28:D28"/>
    <mergeCell ref="C29:D29"/>
    <mergeCell ref="C30:D30"/>
    <mergeCell ref="C32:D32"/>
    <mergeCell ref="C33:D33"/>
    <mergeCell ref="D40:F40"/>
    <mergeCell ref="C27:D27"/>
    <mergeCell ref="E3:H3"/>
    <mergeCell ref="B4:D6"/>
    <mergeCell ref="E4:H4"/>
    <mergeCell ref="E5:H5"/>
    <mergeCell ref="E6:H6"/>
    <mergeCell ref="B9:H9"/>
    <mergeCell ref="B18:E18"/>
    <mergeCell ref="B19:E19"/>
    <mergeCell ref="B20:E20"/>
    <mergeCell ref="B23:E23"/>
    <mergeCell ref="B24:H24"/>
  </mergeCells>
  <conditionalFormatting sqref="B26">
    <cfRule type="notContainsBlanks" dxfId="30" priority="1">
      <formula>LEN(TRIM(B26))&gt;0</formula>
    </cfRule>
  </conditionalFormatting>
  <hyperlinks>
    <hyperlink ref="B12" r:id="rId1" xr:uid="{DFE78D65-C621-4D9F-AE33-EB020D1FB9F3}"/>
  </hyperlinks>
  <printOptions horizontalCentered="1" verticalCentered="1"/>
  <pageMargins left="0.13" right="7.0000000000000007E-2" top="0.19685039370078741" bottom="0.19685039370078741" header="0.31496062992125984" footer="0.31496062992125984"/>
  <pageSetup paperSize="9" scale="83" orientation="portrait" r:id="rId2"/>
  <drawing r:id="rId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CB5BA0-F2D1-4891-A55D-611385A8326C}">
  <sheetPr codeName="Sheet30">
    <tabColor theme="6" tint="0.79998168889431442"/>
    <outlinePr summaryBelow="0" summaryRight="0"/>
    <pageSetUpPr fitToPage="1"/>
  </sheetPr>
  <dimension ref="A1:J59"/>
  <sheetViews>
    <sheetView showGridLines="0" topLeftCell="A4" workbookViewId="0">
      <selection activeCell="H11" sqref="H11"/>
    </sheetView>
  </sheetViews>
  <sheetFormatPr defaultColWidth="14.42578125" defaultRowHeight="15.75" customHeight="1" x14ac:dyDescent="0.2"/>
  <cols>
    <col min="1" max="1" width="3.42578125" style="55" customWidth="1"/>
    <col min="2" max="3" width="14.42578125" style="55"/>
    <col min="4" max="4" width="22.42578125" style="55" customWidth="1"/>
    <col min="5" max="5" width="18.140625" style="55" bestFit="1" customWidth="1"/>
    <col min="6" max="6" width="16.42578125" style="55" customWidth="1"/>
    <col min="7" max="7" width="12.7109375" style="55" customWidth="1"/>
    <col min="8" max="8" width="17.42578125" style="55" customWidth="1"/>
    <col min="9" max="9" width="3.42578125" style="55" customWidth="1"/>
    <col min="10" max="16384" width="14.42578125" style="55"/>
  </cols>
  <sheetData>
    <row r="1" spans="1:10" ht="39" customHeight="1" x14ac:dyDescent="0.2">
      <c r="A1" s="53"/>
      <c r="B1" s="54"/>
      <c r="C1" s="54"/>
      <c r="D1" s="54"/>
      <c r="E1" s="54"/>
      <c r="F1" s="54"/>
      <c r="G1" s="54"/>
      <c r="H1" s="54"/>
      <c r="I1" s="54"/>
    </row>
    <row r="2" spans="1:10" x14ac:dyDescent="0.25">
      <c r="A2" s="53"/>
      <c r="B2" s="56"/>
      <c r="C2" s="56"/>
      <c r="D2" s="56"/>
      <c r="E2" s="57"/>
      <c r="F2" s="57"/>
      <c r="G2" s="57"/>
      <c r="H2" s="57"/>
      <c r="I2" s="56"/>
    </row>
    <row r="3" spans="1:10" ht="12.75" x14ac:dyDescent="0.2">
      <c r="A3" s="53"/>
      <c r="B3" s="56"/>
      <c r="C3" s="56"/>
      <c r="D3" s="56"/>
      <c r="E3" s="273"/>
      <c r="F3" s="274"/>
      <c r="G3" s="274"/>
      <c r="H3" s="274"/>
      <c r="I3" s="56"/>
    </row>
    <row r="4" spans="1:10" ht="12.75" x14ac:dyDescent="0.2">
      <c r="A4" s="53"/>
      <c r="B4" s="275" t="s">
        <v>83</v>
      </c>
      <c r="C4" s="276"/>
      <c r="D4" s="276"/>
      <c r="E4" s="277"/>
      <c r="F4" s="274"/>
      <c r="G4" s="274"/>
      <c r="H4" s="274"/>
      <c r="I4" s="56"/>
    </row>
    <row r="5" spans="1:10" ht="12.75" x14ac:dyDescent="0.2">
      <c r="A5" s="53"/>
      <c r="B5" s="276"/>
      <c r="C5" s="276"/>
      <c r="D5" s="276"/>
      <c r="E5" s="277"/>
      <c r="F5" s="274"/>
      <c r="G5" s="274"/>
      <c r="H5" s="274"/>
      <c r="I5" s="56"/>
    </row>
    <row r="6" spans="1:10" ht="12.75" x14ac:dyDescent="0.2">
      <c r="A6" s="53"/>
      <c r="B6" s="276"/>
      <c r="C6" s="276"/>
      <c r="D6" s="276"/>
      <c r="E6" s="277"/>
      <c r="F6" s="274"/>
      <c r="G6" s="274"/>
      <c r="H6" s="274"/>
      <c r="I6" s="56"/>
    </row>
    <row r="7" spans="1:10" ht="36.75" customHeight="1" x14ac:dyDescent="0.2">
      <c r="A7" s="53"/>
      <c r="B7" s="54"/>
      <c r="C7" s="54"/>
      <c r="D7" s="54"/>
      <c r="E7" s="54"/>
      <c r="F7" s="54"/>
      <c r="G7" s="54"/>
      <c r="H7" s="54"/>
      <c r="I7" s="54"/>
    </row>
    <row r="8" spans="1:10" ht="21.75" customHeight="1" x14ac:dyDescent="0.2">
      <c r="B8" s="58"/>
      <c r="C8" s="58"/>
      <c r="D8" s="58"/>
      <c r="E8" s="58"/>
      <c r="F8" s="58"/>
      <c r="G8" s="58"/>
      <c r="H8" s="58"/>
      <c r="I8" s="58"/>
      <c r="J8" s="59"/>
    </row>
    <row r="9" spans="1:10" ht="15.75" customHeight="1" x14ac:dyDescent="0.2">
      <c r="B9" s="278"/>
      <c r="C9" s="278"/>
      <c r="D9" s="278"/>
      <c r="E9" s="278"/>
      <c r="F9" s="278"/>
      <c r="G9" s="278"/>
      <c r="H9" s="278"/>
    </row>
    <row r="10" spans="1:10" ht="15" customHeight="1" x14ac:dyDescent="0.2">
      <c r="B10" s="60" t="s">
        <v>84</v>
      </c>
      <c r="G10" s="60"/>
      <c r="H10" s="61" t="s">
        <v>85</v>
      </c>
    </row>
    <row r="11" spans="1:10" ht="14.25" x14ac:dyDescent="0.2">
      <c r="B11" s="62" t="s">
        <v>86</v>
      </c>
      <c r="G11" s="62"/>
      <c r="H11" s="63" t="str">
        <f>"KS"&amp;J11</f>
        <v>KS1037</v>
      </c>
      <c r="J11" s="55">
        <v>1037</v>
      </c>
    </row>
    <row r="12" spans="1:10" ht="15" x14ac:dyDescent="0.2">
      <c r="B12" s="62" t="s">
        <v>87</v>
      </c>
      <c r="G12" s="60"/>
      <c r="H12" s="61" t="s">
        <v>88</v>
      </c>
      <c r="J12" s="55">
        <v>7</v>
      </c>
    </row>
    <row r="13" spans="1:10" ht="14.25" x14ac:dyDescent="0.2">
      <c r="B13" s="62"/>
      <c r="G13" s="64"/>
      <c r="H13" s="65">
        <v>44952</v>
      </c>
    </row>
    <row r="14" spans="1:10" ht="15" x14ac:dyDescent="0.2">
      <c r="G14" s="60"/>
      <c r="H14" s="61" t="s">
        <v>89</v>
      </c>
    </row>
    <row r="15" spans="1:10" ht="14.25" x14ac:dyDescent="0.2">
      <c r="G15" s="64"/>
      <c r="H15" s="65">
        <f>H13+J12</f>
        <v>44959</v>
      </c>
    </row>
    <row r="16" spans="1:10" ht="14.25" x14ac:dyDescent="0.2">
      <c r="B16" s="62"/>
      <c r="F16" s="65"/>
      <c r="G16" s="65"/>
      <c r="H16" s="65"/>
    </row>
    <row r="17" spans="2:8" ht="14.25" x14ac:dyDescent="0.2">
      <c r="F17" s="65"/>
      <c r="G17" s="65"/>
      <c r="H17" s="66"/>
    </row>
    <row r="18" spans="2:8" ht="15" x14ac:dyDescent="0.2">
      <c r="B18" s="279" t="s">
        <v>90</v>
      </c>
      <c r="C18" s="280"/>
      <c r="D18" s="280"/>
      <c r="E18" s="280"/>
      <c r="F18" s="65"/>
      <c r="G18" s="65"/>
      <c r="H18" s="66"/>
    </row>
    <row r="19" spans="2:8" ht="13.5" customHeight="1" x14ac:dyDescent="0.2">
      <c r="B19" s="279" t="s">
        <v>194</v>
      </c>
      <c r="C19" s="280"/>
      <c r="D19" s="280"/>
      <c r="E19" s="280"/>
      <c r="F19" s="65"/>
      <c r="G19" s="65"/>
      <c r="H19" s="66"/>
    </row>
    <row r="20" spans="2:8" ht="14.25" x14ac:dyDescent="0.2">
      <c r="B20" s="282" t="s">
        <v>195</v>
      </c>
      <c r="C20" s="280"/>
      <c r="D20" s="280"/>
      <c r="E20" s="280"/>
      <c r="F20" s="65"/>
      <c r="G20" s="65"/>
      <c r="H20" s="66"/>
    </row>
    <row r="21" spans="2:8" ht="14.25" x14ac:dyDescent="0.2">
      <c r="B21" s="62"/>
      <c r="C21" s="67"/>
      <c r="D21" s="67"/>
      <c r="E21" s="67"/>
      <c r="F21" s="65"/>
      <c r="G21" s="65"/>
      <c r="H21" s="66"/>
    </row>
    <row r="22" spans="2:8" ht="14.25" x14ac:dyDescent="0.2">
      <c r="B22" s="62"/>
      <c r="C22" s="67"/>
      <c r="D22" s="67"/>
      <c r="E22" s="67"/>
      <c r="F22" s="65"/>
      <c r="G22" s="65"/>
      <c r="H22" s="66"/>
    </row>
    <row r="23" spans="2:8" ht="22.5" customHeight="1" x14ac:dyDescent="0.2">
      <c r="B23" s="282"/>
      <c r="C23" s="280"/>
      <c r="D23" s="280"/>
      <c r="E23" s="280"/>
      <c r="F23" s="67"/>
      <c r="G23" s="67"/>
      <c r="H23" s="67"/>
    </row>
    <row r="24" spans="2:8" ht="27.75" customHeight="1" x14ac:dyDescent="0.2">
      <c r="B24" s="280"/>
      <c r="C24" s="280"/>
      <c r="D24" s="280"/>
      <c r="E24" s="280"/>
      <c r="F24" s="280"/>
      <c r="G24" s="280"/>
      <c r="H24" s="280"/>
    </row>
    <row r="25" spans="2:8" ht="27.75" customHeight="1" x14ac:dyDescent="0.2">
      <c r="B25" s="67"/>
      <c r="C25" s="67"/>
      <c r="D25" s="67"/>
      <c r="E25" s="67"/>
      <c r="F25" s="67"/>
      <c r="G25" s="67"/>
      <c r="H25" s="67"/>
    </row>
    <row r="26" spans="2:8" ht="15.75" customHeight="1" x14ac:dyDescent="0.2">
      <c r="B26" s="67"/>
      <c r="C26" s="67"/>
      <c r="D26" s="67"/>
      <c r="E26" s="67"/>
      <c r="F26" s="67"/>
      <c r="G26" s="67"/>
      <c r="H26" s="67"/>
    </row>
    <row r="27" spans="2:8" ht="15" x14ac:dyDescent="0.25">
      <c r="B27" s="68" t="s">
        <v>88</v>
      </c>
      <c r="C27" s="272" t="s">
        <v>92</v>
      </c>
      <c r="D27" s="272"/>
      <c r="E27" s="69" t="s">
        <v>110</v>
      </c>
      <c r="F27" s="69" t="s">
        <v>129</v>
      </c>
      <c r="G27" s="70" t="s">
        <v>18</v>
      </c>
      <c r="H27" s="69" t="s">
        <v>121</v>
      </c>
    </row>
    <row r="28" spans="2:8" ht="25.5" customHeight="1" x14ac:dyDescent="0.2">
      <c r="B28" s="71">
        <v>44951</v>
      </c>
      <c r="C28" s="290" t="s">
        <v>140</v>
      </c>
      <c r="D28" s="280"/>
      <c r="E28" s="73">
        <v>38</v>
      </c>
      <c r="F28" s="137">
        <v>2</v>
      </c>
      <c r="G28" s="75">
        <v>0.1</v>
      </c>
      <c r="H28" s="73">
        <f>E28*F28</f>
        <v>76</v>
      </c>
    </row>
    <row r="29" spans="2:8" ht="30" customHeight="1" x14ac:dyDescent="0.2">
      <c r="B29" s="102"/>
      <c r="C29" s="286"/>
      <c r="D29" s="287"/>
      <c r="E29" s="77"/>
      <c r="F29" s="110"/>
      <c r="G29" s="141"/>
      <c r="H29" s="77"/>
    </row>
    <row r="30" spans="2:8" ht="30" customHeight="1" x14ac:dyDescent="0.2">
      <c r="B30" s="72"/>
      <c r="C30" s="290"/>
      <c r="D30" s="280"/>
      <c r="E30" s="63"/>
      <c r="F30" s="79" t="s">
        <v>97</v>
      </c>
      <c r="G30" s="79"/>
      <c r="H30" s="80">
        <f>SUM(H28:H29)</f>
        <v>76</v>
      </c>
    </row>
    <row r="31" spans="2:8" ht="30" customHeight="1" x14ac:dyDescent="0.2">
      <c r="B31" s="72"/>
      <c r="C31" s="72"/>
      <c r="D31" s="67"/>
      <c r="E31" s="63"/>
      <c r="F31" s="79" t="s">
        <v>98</v>
      </c>
      <c r="G31" s="79"/>
      <c r="H31" s="80">
        <f>H30*0.1</f>
        <v>7.6000000000000005</v>
      </c>
    </row>
    <row r="32" spans="2:8" ht="30" customHeight="1" x14ac:dyDescent="0.2">
      <c r="B32" s="72"/>
      <c r="C32" s="290"/>
      <c r="D32" s="280"/>
      <c r="E32" s="63"/>
      <c r="F32" s="81" t="s">
        <v>99</v>
      </c>
      <c r="G32" s="81"/>
      <c r="H32" s="82">
        <v>0</v>
      </c>
    </row>
    <row r="33" spans="1:9" ht="30" customHeight="1" x14ac:dyDescent="0.25">
      <c r="B33" s="83"/>
      <c r="C33" s="291"/>
      <c r="D33" s="278"/>
      <c r="E33" s="84"/>
      <c r="F33" s="85" t="s">
        <v>100</v>
      </c>
      <c r="G33" s="85"/>
      <c r="H33" s="86">
        <f>SUM(H30:H32)</f>
        <v>83.6</v>
      </c>
    </row>
    <row r="34" spans="1:9" ht="30" customHeight="1" x14ac:dyDescent="0.25">
      <c r="B34" s="83"/>
      <c r="C34" s="83"/>
      <c r="E34" s="84"/>
      <c r="F34" s="85"/>
      <c r="G34" s="85"/>
      <c r="H34" s="87"/>
    </row>
    <row r="35" spans="1:9" ht="30" customHeight="1" x14ac:dyDescent="0.25">
      <c r="B35" s="83"/>
      <c r="C35" s="83"/>
      <c r="E35" s="84"/>
      <c r="F35" s="85"/>
      <c r="G35" s="85"/>
      <c r="H35" s="86"/>
    </row>
    <row r="36" spans="1:9" ht="30" customHeight="1" x14ac:dyDescent="0.25">
      <c r="B36" s="83"/>
      <c r="C36" s="83"/>
      <c r="E36" s="84"/>
      <c r="F36" s="85"/>
      <c r="G36" s="85"/>
      <c r="H36" s="86"/>
    </row>
    <row r="37" spans="1:9" ht="30" customHeight="1" x14ac:dyDescent="0.25">
      <c r="B37" s="83"/>
      <c r="C37" s="83"/>
      <c r="E37" s="84"/>
      <c r="F37" s="85"/>
      <c r="G37" s="85"/>
      <c r="H37" s="86"/>
    </row>
    <row r="38" spans="1:9" ht="30" customHeight="1" x14ac:dyDescent="0.25">
      <c r="B38" s="83"/>
      <c r="C38" s="83"/>
      <c r="E38" s="84"/>
      <c r="F38" s="85"/>
      <c r="G38" s="85"/>
      <c r="H38" s="86"/>
    </row>
    <row r="39" spans="1:9" ht="30" customHeight="1" x14ac:dyDescent="0.25">
      <c r="B39" s="83"/>
      <c r="C39" s="83"/>
      <c r="E39" s="84"/>
      <c r="F39" s="85"/>
      <c r="G39" s="85"/>
      <c r="H39" s="86"/>
    </row>
    <row r="40" spans="1:9" ht="30" customHeight="1" x14ac:dyDescent="0.25">
      <c r="B40" s="83"/>
      <c r="C40" s="83"/>
      <c r="E40" s="84"/>
      <c r="F40" s="85"/>
      <c r="G40" s="85"/>
      <c r="H40" s="86"/>
    </row>
    <row r="41" spans="1:9" ht="30" customHeight="1" x14ac:dyDescent="0.2">
      <c r="B41" s="83"/>
      <c r="C41" s="88"/>
      <c r="D41" s="292" t="s">
        <v>101</v>
      </c>
      <c r="E41" s="292"/>
      <c r="F41" s="292"/>
      <c r="G41" s="89"/>
      <c r="H41" s="90"/>
    </row>
    <row r="42" spans="1:9" ht="12.75" customHeight="1" x14ac:dyDescent="0.2"/>
    <row r="43" spans="1:9" ht="12.75" x14ac:dyDescent="0.2">
      <c r="A43" s="53"/>
      <c r="B43" s="91" t="s">
        <v>102</v>
      </c>
      <c r="C43" s="92"/>
      <c r="D43" s="92"/>
      <c r="E43" s="300" t="s">
        <v>103</v>
      </c>
      <c r="F43" s="300"/>
      <c r="G43" s="300"/>
      <c r="H43" s="300"/>
      <c r="I43" s="300"/>
    </row>
    <row r="44" spans="1:9" ht="14.25" customHeight="1" x14ac:dyDescent="0.2">
      <c r="A44" s="53"/>
      <c r="B44" s="94" t="s">
        <v>104</v>
      </c>
      <c r="C44" s="53"/>
      <c r="D44" s="53"/>
      <c r="E44" s="283">
        <f>H33</f>
        <v>83.6</v>
      </c>
      <c r="F44" s="283"/>
      <c r="G44" s="283"/>
      <c r="H44" s="283"/>
      <c r="I44" s="283"/>
    </row>
    <row r="45" spans="1:9" ht="15.75" customHeight="1" x14ac:dyDescent="0.2">
      <c r="A45" s="53"/>
      <c r="B45" s="94" t="s">
        <v>105</v>
      </c>
      <c r="C45" s="53"/>
      <c r="D45" s="53"/>
      <c r="E45" s="283"/>
      <c r="F45" s="283"/>
      <c r="G45" s="283"/>
      <c r="H45" s="283"/>
      <c r="I45" s="283"/>
    </row>
    <row r="46" spans="1:9" ht="14.25" x14ac:dyDescent="0.2">
      <c r="A46" s="53"/>
      <c r="B46" s="94" t="s">
        <v>106</v>
      </c>
      <c r="C46" s="53"/>
      <c r="D46" s="53"/>
      <c r="E46" s="95"/>
      <c r="F46" s="95"/>
      <c r="G46" s="95"/>
      <c r="H46" s="95"/>
      <c r="I46" s="95"/>
    </row>
    <row r="47" spans="1:9" ht="14.25" x14ac:dyDescent="0.2">
      <c r="A47" s="53"/>
      <c r="B47" s="94" t="s">
        <v>107</v>
      </c>
      <c r="C47" s="96"/>
      <c r="D47" s="96"/>
      <c r="E47" s="97"/>
      <c r="F47" s="97"/>
      <c r="G47" s="97"/>
      <c r="H47" s="97"/>
      <c r="I47" s="95"/>
    </row>
    <row r="48" spans="1:9" ht="53.25" customHeight="1" x14ac:dyDescent="0.2">
      <c r="B48" s="284"/>
      <c r="C48" s="278"/>
      <c r="D48" s="278"/>
      <c r="E48" s="278"/>
      <c r="F48" s="278"/>
      <c r="G48" s="278"/>
      <c r="H48" s="278"/>
    </row>
    <row r="52" spans="6:7" ht="15.75" customHeight="1" x14ac:dyDescent="0.2">
      <c r="F52" s="62"/>
      <c r="G52" s="62"/>
    </row>
    <row r="53" spans="6:7" ht="15.75" customHeight="1" x14ac:dyDescent="0.2">
      <c r="F53" s="62"/>
      <c r="G53" s="62"/>
    </row>
    <row r="54" spans="6:7" ht="15.75" customHeight="1" x14ac:dyDescent="0.2">
      <c r="F54" s="62"/>
      <c r="G54" s="62"/>
    </row>
    <row r="57" spans="6:7" ht="15.75" customHeight="1" x14ac:dyDescent="0.2">
      <c r="F57" s="62"/>
      <c r="G57" s="62"/>
    </row>
    <row r="59" spans="6:7" ht="15.75" customHeight="1" x14ac:dyDescent="0.2">
      <c r="F59" s="62"/>
      <c r="G59" s="62"/>
    </row>
  </sheetData>
  <mergeCells count="21">
    <mergeCell ref="E43:I43"/>
    <mergeCell ref="E44:I45"/>
    <mergeCell ref="B48:H48"/>
    <mergeCell ref="C28:D28"/>
    <mergeCell ref="C29:D29"/>
    <mergeCell ref="C30:D30"/>
    <mergeCell ref="C32:D32"/>
    <mergeCell ref="C33:D33"/>
    <mergeCell ref="D41:F41"/>
    <mergeCell ref="C27:D27"/>
    <mergeCell ref="E3:H3"/>
    <mergeCell ref="B4:D6"/>
    <mergeCell ref="E4:H4"/>
    <mergeCell ref="E5:H5"/>
    <mergeCell ref="E6:H6"/>
    <mergeCell ref="B9:H9"/>
    <mergeCell ref="B18:E18"/>
    <mergeCell ref="B19:E19"/>
    <mergeCell ref="B20:E20"/>
    <mergeCell ref="B23:E23"/>
    <mergeCell ref="B24:H24"/>
  </mergeCells>
  <conditionalFormatting sqref="B26">
    <cfRule type="notContainsBlanks" dxfId="29" priority="1">
      <formula>LEN(TRIM(B26))&gt;0</formula>
    </cfRule>
  </conditionalFormatting>
  <hyperlinks>
    <hyperlink ref="B12" r:id="rId1" xr:uid="{56A25B71-C71F-40D6-BA6A-082CA696DB56}"/>
  </hyperlinks>
  <pageMargins left="0.28999999999999998" right="0.19" top="0.6" bottom="0.5" header="0.31496062000000002" footer="0.31496062000000002"/>
  <pageSetup paperSize="9" scale="80" orientation="portrait" r:id="rId2"/>
  <drawing r:id="rId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DBF9A-1077-490F-A7F6-6239D70D47FE}">
  <sheetPr codeName="Sheet31">
    <tabColor theme="6" tint="0.79998168889431442"/>
    <outlinePr summaryBelow="0" summaryRight="0"/>
    <pageSetUpPr fitToPage="1"/>
  </sheetPr>
  <dimension ref="A1:N59"/>
  <sheetViews>
    <sheetView showGridLines="0" topLeftCell="A7" zoomScale="115" zoomScaleNormal="115" workbookViewId="0">
      <selection activeCell="H11" sqref="H11"/>
    </sheetView>
  </sheetViews>
  <sheetFormatPr defaultColWidth="14.42578125" defaultRowHeight="15.75" customHeight="1" x14ac:dyDescent="0.2"/>
  <cols>
    <col min="1" max="1" width="2.85546875" style="55" customWidth="1"/>
    <col min="2" max="3" width="14.42578125" style="55"/>
    <col min="4" max="4" width="21.42578125" style="55" customWidth="1"/>
    <col min="5" max="5" width="18.140625" style="55" bestFit="1" customWidth="1"/>
    <col min="6" max="6" width="16.42578125" style="55" customWidth="1"/>
    <col min="7" max="7" width="10.7109375" style="55" customWidth="1"/>
    <col min="8" max="8" width="16" style="55" customWidth="1"/>
    <col min="9" max="9" width="2.42578125" style="55" customWidth="1"/>
    <col min="10" max="16384" width="14.42578125" style="55"/>
  </cols>
  <sheetData>
    <row r="1" spans="1:10" ht="39" customHeight="1" x14ac:dyDescent="0.2">
      <c r="A1" s="54"/>
      <c r="B1" s="54"/>
      <c r="C1" s="54"/>
      <c r="D1" s="54"/>
      <c r="E1" s="54"/>
      <c r="F1" s="54"/>
      <c r="G1" s="54"/>
      <c r="H1" s="54"/>
      <c r="I1" s="54"/>
    </row>
    <row r="2" spans="1:10" x14ac:dyDescent="0.25">
      <c r="A2" s="54"/>
      <c r="B2" s="56"/>
      <c r="C2" s="56"/>
      <c r="D2" s="56"/>
      <c r="E2" s="57"/>
      <c r="F2" s="57"/>
      <c r="G2" s="57"/>
      <c r="H2" s="57"/>
      <c r="I2" s="56"/>
    </row>
    <row r="3" spans="1:10" ht="12.75" x14ac:dyDescent="0.2">
      <c r="A3" s="54"/>
      <c r="B3" s="56"/>
      <c r="C3" s="56"/>
      <c r="D3" s="56"/>
      <c r="E3" s="273"/>
      <c r="F3" s="274"/>
      <c r="G3" s="274"/>
      <c r="H3" s="274"/>
      <c r="I3" s="56"/>
    </row>
    <row r="4" spans="1:10" ht="12.75" x14ac:dyDescent="0.2">
      <c r="A4" s="54"/>
      <c r="B4" s="275" t="s">
        <v>83</v>
      </c>
      <c r="C4" s="276"/>
      <c r="D4" s="276"/>
      <c r="E4" s="277"/>
      <c r="F4" s="274"/>
      <c r="G4" s="274"/>
      <c r="H4" s="274"/>
      <c r="I4" s="56"/>
    </row>
    <row r="5" spans="1:10" ht="12.75" x14ac:dyDescent="0.2">
      <c r="A5" s="54"/>
      <c r="B5" s="276"/>
      <c r="C5" s="276"/>
      <c r="D5" s="276"/>
      <c r="E5" s="277"/>
      <c r="F5" s="274"/>
      <c r="G5" s="274"/>
      <c r="H5" s="274"/>
      <c r="I5" s="56"/>
    </row>
    <row r="6" spans="1:10" ht="12.75" x14ac:dyDescent="0.2">
      <c r="A6" s="54"/>
      <c r="B6" s="276"/>
      <c r="C6" s="276"/>
      <c r="D6" s="276"/>
      <c r="E6" s="277"/>
      <c r="F6" s="274"/>
      <c r="G6" s="274"/>
      <c r="H6" s="274"/>
      <c r="I6" s="56"/>
    </row>
    <row r="7" spans="1:10" ht="36.75" customHeight="1" x14ac:dyDescent="0.2">
      <c r="A7" s="54"/>
      <c r="B7" s="54"/>
      <c r="C7" s="54"/>
      <c r="D7" s="54"/>
      <c r="E7" s="54"/>
      <c r="F7" s="54"/>
      <c r="G7" s="54"/>
      <c r="H7" s="54"/>
      <c r="I7" s="54"/>
    </row>
    <row r="8" spans="1:10" ht="21.75" customHeight="1" x14ac:dyDescent="0.2">
      <c r="A8" s="58"/>
      <c r="B8" s="58"/>
      <c r="C8" s="58"/>
      <c r="D8" s="58"/>
      <c r="E8" s="58"/>
      <c r="F8" s="58"/>
      <c r="G8" s="58"/>
      <c r="H8" s="58"/>
      <c r="I8" s="58"/>
      <c r="J8" s="59"/>
    </row>
    <row r="9" spans="1:10" ht="15.75" customHeight="1" x14ac:dyDescent="0.2">
      <c r="B9" s="278"/>
      <c r="C9" s="278"/>
      <c r="D9" s="278"/>
      <c r="E9" s="278"/>
      <c r="F9" s="278"/>
      <c r="G9" s="278"/>
      <c r="H9" s="278"/>
      <c r="J9" s="116" t="s">
        <v>196</v>
      </c>
    </row>
    <row r="10" spans="1:10" ht="15" customHeight="1" x14ac:dyDescent="0.2">
      <c r="A10" s="98"/>
      <c r="B10" s="60" t="s">
        <v>84</v>
      </c>
      <c r="G10" s="60"/>
      <c r="H10" s="61" t="s">
        <v>85</v>
      </c>
    </row>
    <row r="11" spans="1:10" ht="14.25" x14ac:dyDescent="0.2">
      <c r="A11" s="98"/>
      <c r="B11" s="62" t="s">
        <v>86</v>
      </c>
      <c r="G11" s="62"/>
      <c r="H11" s="63" t="str">
        <f>"LM"&amp;J11</f>
        <v>LM36</v>
      </c>
      <c r="J11" s="55">
        <v>36</v>
      </c>
    </row>
    <row r="12" spans="1:10" ht="15" x14ac:dyDescent="0.2">
      <c r="A12" s="98"/>
      <c r="B12" s="62" t="s">
        <v>87</v>
      </c>
      <c r="G12" s="60"/>
      <c r="H12" s="61" t="s">
        <v>88</v>
      </c>
      <c r="J12" s="55">
        <v>7</v>
      </c>
    </row>
    <row r="13" spans="1:10" ht="14.25" x14ac:dyDescent="0.2">
      <c r="A13" s="98"/>
      <c r="B13" s="62"/>
      <c r="G13" s="64"/>
      <c r="H13" s="65">
        <v>44931</v>
      </c>
    </row>
    <row r="14" spans="1:10" ht="15" x14ac:dyDescent="0.2">
      <c r="A14" s="98"/>
      <c r="G14" s="60"/>
      <c r="H14" s="61" t="s">
        <v>89</v>
      </c>
    </row>
    <row r="15" spans="1:10" ht="14.25" x14ac:dyDescent="0.2">
      <c r="A15" s="98"/>
      <c r="G15" s="64"/>
      <c r="H15" s="65">
        <f>H13+J12</f>
        <v>44938</v>
      </c>
    </row>
    <row r="16" spans="1:10" ht="14.25" x14ac:dyDescent="0.2">
      <c r="A16" s="98"/>
      <c r="B16" s="62"/>
      <c r="F16" s="65"/>
      <c r="G16" s="65"/>
      <c r="H16" s="65"/>
    </row>
    <row r="17" spans="1:14" ht="14.25" x14ac:dyDescent="0.2">
      <c r="A17" s="98"/>
      <c r="F17" s="65"/>
      <c r="G17" s="65"/>
      <c r="H17" s="66"/>
    </row>
    <row r="18" spans="1:14" ht="22.5" customHeight="1" x14ac:dyDescent="0.2">
      <c r="A18" s="98"/>
      <c r="B18" s="279" t="s">
        <v>90</v>
      </c>
      <c r="C18" s="280"/>
      <c r="D18" s="280"/>
      <c r="E18" s="280"/>
      <c r="F18" s="65"/>
      <c r="G18" s="65"/>
      <c r="H18" s="66"/>
    </row>
    <row r="19" spans="1:14" ht="15" x14ac:dyDescent="0.2">
      <c r="A19" s="98"/>
      <c r="B19" s="295" t="s">
        <v>197</v>
      </c>
      <c r="C19" s="296"/>
      <c r="D19" s="296"/>
      <c r="E19" s="296"/>
      <c r="F19" s="65"/>
      <c r="G19" s="65"/>
      <c r="H19" s="66"/>
    </row>
    <row r="20" spans="1:14" ht="14.25" x14ac:dyDescent="0.2">
      <c r="A20" s="98"/>
      <c r="B20" s="301" t="s">
        <v>198</v>
      </c>
      <c r="C20" s="296"/>
      <c r="D20" s="296"/>
      <c r="E20" s="296"/>
      <c r="F20" s="65"/>
      <c r="G20" s="65"/>
      <c r="H20" s="66"/>
    </row>
    <row r="21" spans="1:14" ht="14.25" x14ac:dyDescent="0.2">
      <c r="A21" s="98"/>
      <c r="B21" s="62"/>
      <c r="C21" s="67"/>
      <c r="D21" s="67"/>
      <c r="E21" s="67"/>
      <c r="F21" s="65"/>
      <c r="G21" s="65"/>
      <c r="H21" s="66"/>
    </row>
    <row r="22" spans="1:14" ht="14.25" x14ac:dyDescent="0.2">
      <c r="A22" s="98"/>
      <c r="B22" s="62"/>
      <c r="C22" s="67"/>
      <c r="D22" s="67"/>
      <c r="E22" s="67"/>
      <c r="F22" s="65"/>
      <c r="G22" s="65"/>
      <c r="H22" s="66"/>
    </row>
    <row r="23" spans="1:14" ht="22.5" customHeight="1" x14ac:dyDescent="0.2">
      <c r="A23" s="98"/>
      <c r="B23" s="282"/>
      <c r="C23" s="280"/>
      <c r="D23" s="280"/>
      <c r="E23" s="280"/>
      <c r="F23" s="67"/>
      <c r="G23" s="67"/>
      <c r="H23" s="67"/>
    </row>
    <row r="24" spans="1:14" ht="27.75" customHeight="1" x14ac:dyDescent="0.2">
      <c r="B24" s="280"/>
      <c r="C24" s="280"/>
      <c r="D24" s="280"/>
      <c r="E24" s="280"/>
      <c r="F24" s="280"/>
      <c r="G24" s="280"/>
      <c r="H24" s="280"/>
    </row>
    <row r="25" spans="1:14" ht="27.75" customHeight="1" x14ac:dyDescent="0.2">
      <c r="B25" s="67"/>
      <c r="C25" s="67"/>
      <c r="D25" s="67"/>
      <c r="E25" s="67"/>
      <c r="F25" s="67"/>
      <c r="G25" s="67"/>
      <c r="H25" s="67"/>
    </row>
    <row r="26" spans="1:14" ht="15.75" customHeight="1" x14ac:dyDescent="0.2">
      <c r="B26" s="67"/>
      <c r="C26" s="67"/>
      <c r="D26" s="67"/>
      <c r="E26" s="67"/>
      <c r="F26" s="67"/>
      <c r="G26" s="67"/>
      <c r="H26" s="67"/>
    </row>
    <row r="27" spans="1:14" ht="15" x14ac:dyDescent="0.25">
      <c r="B27" s="68" t="s">
        <v>88</v>
      </c>
      <c r="C27" s="272" t="s">
        <v>92</v>
      </c>
      <c r="D27" s="272"/>
      <c r="E27" s="70" t="s">
        <v>110</v>
      </c>
      <c r="F27" s="70" t="s">
        <v>94</v>
      </c>
      <c r="G27" s="70" t="s">
        <v>18</v>
      </c>
      <c r="H27" s="70" t="s">
        <v>121</v>
      </c>
    </row>
    <row r="28" spans="1:14" ht="25.5" customHeight="1" x14ac:dyDescent="0.2">
      <c r="B28" s="71">
        <v>44930</v>
      </c>
      <c r="C28" s="290" t="s">
        <v>172</v>
      </c>
      <c r="D28" s="280"/>
      <c r="E28" s="99">
        <v>40</v>
      </c>
      <c r="F28" s="108">
        <v>2</v>
      </c>
      <c r="G28" s="140">
        <v>0.1</v>
      </c>
      <c r="H28" s="99">
        <f>E28*F28</f>
        <v>80</v>
      </c>
      <c r="L28" s="145"/>
      <c r="M28" s="145"/>
      <c r="N28" s="145"/>
    </row>
    <row r="29" spans="1:14" ht="30" customHeight="1" x14ac:dyDescent="0.2">
      <c r="B29" s="76"/>
      <c r="C29" s="286"/>
      <c r="D29" s="287"/>
      <c r="E29" s="77"/>
      <c r="F29" s="103"/>
      <c r="G29" s="103"/>
      <c r="H29" s="77"/>
      <c r="L29" s="145"/>
      <c r="M29" s="145"/>
      <c r="N29" s="145"/>
    </row>
    <row r="30" spans="1:14" ht="30" customHeight="1" x14ac:dyDescent="0.2">
      <c r="B30" s="72"/>
      <c r="C30" s="290"/>
      <c r="D30" s="280"/>
      <c r="E30" s="63"/>
      <c r="F30" s="79" t="s">
        <v>97</v>
      </c>
      <c r="G30" s="79"/>
      <c r="H30" s="80">
        <f>SUM(H28:H29)</f>
        <v>80</v>
      </c>
      <c r="L30" s="145"/>
      <c r="M30" s="145"/>
      <c r="N30" s="145"/>
    </row>
    <row r="31" spans="1:14" ht="30" customHeight="1" x14ac:dyDescent="0.2">
      <c r="B31" s="72"/>
      <c r="C31" s="72"/>
      <c r="D31" s="67"/>
      <c r="E31" s="63"/>
      <c r="F31" s="79" t="s">
        <v>125</v>
      </c>
      <c r="G31" s="79"/>
      <c r="H31" s="80">
        <f>G28*H30</f>
        <v>8</v>
      </c>
      <c r="L31" s="145"/>
      <c r="M31" s="145"/>
      <c r="N31" s="145"/>
    </row>
    <row r="32" spans="1:14" ht="30" customHeight="1" x14ac:dyDescent="0.2">
      <c r="B32" s="72"/>
      <c r="C32" s="290"/>
      <c r="D32" s="280"/>
      <c r="E32" s="63"/>
      <c r="F32" s="81" t="s">
        <v>99</v>
      </c>
      <c r="G32" s="81"/>
      <c r="H32" s="82"/>
    </row>
    <row r="33" spans="1:9" ht="30" customHeight="1" x14ac:dyDescent="0.25">
      <c r="B33" s="83"/>
      <c r="C33" s="291"/>
      <c r="D33" s="278"/>
      <c r="E33" s="84"/>
      <c r="F33" s="85" t="s">
        <v>100</v>
      </c>
      <c r="G33" s="85"/>
      <c r="H33" s="86">
        <f>SUM(H30:H32)</f>
        <v>88</v>
      </c>
    </row>
    <row r="34" spans="1:9" ht="30" customHeight="1" x14ac:dyDescent="0.25">
      <c r="B34" s="83"/>
      <c r="C34" s="83"/>
      <c r="E34" s="84"/>
      <c r="F34" s="85"/>
      <c r="G34" s="85"/>
      <c r="H34" s="87"/>
    </row>
    <row r="35" spans="1:9" ht="30" customHeight="1" x14ac:dyDescent="0.25">
      <c r="B35" s="83"/>
      <c r="C35" s="83"/>
      <c r="E35" s="84"/>
      <c r="F35" s="85"/>
      <c r="G35" s="85"/>
      <c r="H35" s="86"/>
    </row>
    <row r="36" spans="1:9" ht="30" customHeight="1" x14ac:dyDescent="0.25">
      <c r="B36" s="83"/>
      <c r="C36" s="83"/>
      <c r="E36" s="84"/>
      <c r="F36" s="85"/>
      <c r="G36" s="85"/>
      <c r="H36" s="86"/>
    </row>
    <row r="37" spans="1:9" ht="30" customHeight="1" x14ac:dyDescent="0.25">
      <c r="B37" s="83"/>
      <c r="C37" s="83"/>
      <c r="E37" s="84"/>
      <c r="F37" s="85"/>
      <c r="G37" s="85"/>
      <c r="H37" s="86"/>
    </row>
    <row r="38" spans="1:9" ht="30" customHeight="1" x14ac:dyDescent="0.25">
      <c r="B38" s="83"/>
      <c r="C38" s="83"/>
      <c r="E38" s="84"/>
      <c r="F38" s="85"/>
      <c r="G38" s="85"/>
      <c r="H38" s="86"/>
    </row>
    <row r="39" spans="1:9" ht="30" customHeight="1" x14ac:dyDescent="0.25">
      <c r="B39" s="83"/>
      <c r="C39" s="83"/>
      <c r="E39" s="84"/>
      <c r="F39" s="85"/>
      <c r="G39" s="85"/>
      <c r="H39" s="86"/>
    </row>
    <row r="40" spans="1:9" ht="30" customHeight="1" x14ac:dyDescent="0.25">
      <c r="B40" s="83"/>
      <c r="C40" s="83"/>
      <c r="E40" s="84"/>
      <c r="F40" s="85"/>
      <c r="G40" s="85"/>
      <c r="H40" s="86"/>
    </row>
    <row r="41" spans="1:9" ht="30" customHeight="1" x14ac:dyDescent="0.2">
      <c r="B41" s="83"/>
      <c r="C41" s="88"/>
      <c r="D41" s="292" t="s">
        <v>101</v>
      </c>
      <c r="E41" s="292"/>
      <c r="F41" s="292"/>
      <c r="G41" s="89"/>
      <c r="H41" s="90"/>
    </row>
    <row r="42" spans="1:9" ht="12.75" customHeight="1" x14ac:dyDescent="0.2"/>
    <row r="43" spans="1:9" ht="12.75" x14ac:dyDescent="0.2">
      <c r="A43" s="92"/>
      <c r="B43" s="91" t="s">
        <v>102</v>
      </c>
      <c r="C43" s="92"/>
      <c r="D43" s="92"/>
      <c r="E43" s="300" t="s">
        <v>190</v>
      </c>
      <c r="F43" s="300"/>
      <c r="G43" s="300"/>
      <c r="H43" s="300"/>
      <c r="I43" s="300"/>
    </row>
    <row r="44" spans="1:9" ht="14.25" customHeight="1" x14ac:dyDescent="0.2">
      <c r="A44" s="92"/>
      <c r="B44" s="94" t="s">
        <v>104</v>
      </c>
      <c r="C44" s="53"/>
      <c r="D44" s="53"/>
      <c r="E44" s="305">
        <f>H33</f>
        <v>88</v>
      </c>
      <c r="F44" s="305"/>
      <c r="G44" s="305"/>
      <c r="H44" s="305"/>
      <c r="I44" s="305"/>
    </row>
    <row r="45" spans="1:9" ht="15.75" customHeight="1" x14ac:dyDescent="0.2">
      <c r="A45" s="53"/>
      <c r="B45" s="94" t="s">
        <v>191</v>
      </c>
      <c r="C45" s="53"/>
      <c r="D45" s="53"/>
      <c r="E45" s="305"/>
      <c r="F45" s="305"/>
      <c r="G45" s="305"/>
      <c r="H45" s="305"/>
      <c r="I45" s="305"/>
    </row>
    <row r="46" spans="1:9" ht="14.25" x14ac:dyDescent="0.2">
      <c r="A46" s="53"/>
      <c r="B46" s="94" t="s">
        <v>107</v>
      </c>
      <c r="C46" s="53"/>
      <c r="D46" s="53"/>
      <c r="E46" s="95"/>
      <c r="F46" s="95"/>
      <c r="G46" s="95"/>
      <c r="H46" s="95"/>
      <c r="I46" s="95"/>
    </row>
    <row r="47" spans="1:9" ht="14.25" x14ac:dyDescent="0.2">
      <c r="A47" s="53"/>
      <c r="B47" s="94" t="s">
        <v>114</v>
      </c>
      <c r="C47" s="96"/>
      <c r="D47" s="96"/>
      <c r="E47" s="97"/>
      <c r="F47" s="97"/>
      <c r="G47" s="97"/>
      <c r="H47" s="97"/>
      <c r="I47" s="95"/>
    </row>
    <row r="48" spans="1:9" ht="53.25" customHeight="1" x14ac:dyDescent="0.2">
      <c r="B48" s="284"/>
      <c r="C48" s="278"/>
      <c r="D48" s="278"/>
      <c r="E48" s="278"/>
      <c r="F48" s="278"/>
      <c r="G48" s="278"/>
      <c r="H48" s="278"/>
    </row>
    <row r="52" spans="6:7" ht="15.75" customHeight="1" x14ac:dyDescent="0.2">
      <c r="F52" s="62"/>
      <c r="G52" s="62"/>
    </row>
    <row r="53" spans="6:7" ht="15.75" customHeight="1" x14ac:dyDescent="0.2">
      <c r="F53" s="62"/>
      <c r="G53" s="62"/>
    </row>
    <row r="54" spans="6:7" ht="15.75" customHeight="1" x14ac:dyDescent="0.2">
      <c r="F54" s="62"/>
      <c r="G54" s="62"/>
    </row>
    <row r="57" spans="6:7" ht="15.75" customHeight="1" x14ac:dyDescent="0.2">
      <c r="F57" s="62"/>
      <c r="G57" s="62"/>
    </row>
    <row r="59" spans="6:7" ht="15.75" customHeight="1" x14ac:dyDescent="0.2">
      <c r="F59" s="62"/>
      <c r="G59" s="62"/>
    </row>
  </sheetData>
  <mergeCells count="21">
    <mergeCell ref="E43:I43"/>
    <mergeCell ref="E44:I45"/>
    <mergeCell ref="B48:H48"/>
    <mergeCell ref="C28:D28"/>
    <mergeCell ref="C29:D29"/>
    <mergeCell ref="C30:D30"/>
    <mergeCell ref="C32:D32"/>
    <mergeCell ref="C33:D33"/>
    <mergeCell ref="D41:F41"/>
    <mergeCell ref="C27:D27"/>
    <mergeCell ref="E3:H3"/>
    <mergeCell ref="B4:D6"/>
    <mergeCell ref="E4:H4"/>
    <mergeCell ref="E5:H5"/>
    <mergeCell ref="E6:H6"/>
    <mergeCell ref="B9:H9"/>
    <mergeCell ref="B18:E18"/>
    <mergeCell ref="B19:E19"/>
    <mergeCell ref="B20:E20"/>
    <mergeCell ref="B23:E23"/>
    <mergeCell ref="B24:H24"/>
  </mergeCells>
  <conditionalFormatting sqref="B26">
    <cfRule type="notContainsBlanks" dxfId="28" priority="1">
      <formula>LEN(TRIM(B26))&gt;0</formula>
    </cfRule>
  </conditionalFormatting>
  <hyperlinks>
    <hyperlink ref="B12" r:id="rId1" xr:uid="{B13BFA20-4F65-4037-82DE-15F7C1799874}"/>
    <hyperlink ref="J9" r:id="rId2" display="mailto:admin@scorpionbusiness.com.au" xr:uid="{227ED55D-A09B-4673-92F7-14D261A16ED0}"/>
  </hyperlinks>
  <printOptions horizontalCentered="1" verticalCentered="1"/>
  <pageMargins left="0.39370078740157483" right="0.39370078740157483" top="0.19685039370078741" bottom="0.19685039370078741" header="0.31496062992125984" footer="0.31496062992125984"/>
  <pageSetup paperSize="9" scale="81" orientation="portrait" r:id="rId3"/>
  <drawing r:id="rId4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50B128-369C-45D4-B430-CFA6C166026D}">
  <sheetPr codeName="Sheet32">
    <tabColor theme="6" tint="0.79998168889431442"/>
    <outlinePr summaryBelow="0" summaryRight="0"/>
    <pageSetUpPr fitToPage="1"/>
  </sheetPr>
  <dimension ref="A1:J59"/>
  <sheetViews>
    <sheetView showGridLines="0" topLeftCell="A5" workbookViewId="0">
      <selection activeCell="H11" sqref="H11"/>
    </sheetView>
  </sheetViews>
  <sheetFormatPr defaultColWidth="14.42578125" defaultRowHeight="15.75" customHeight="1" x14ac:dyDescent="0.2"/>
  <cols>
    <col min="1" max="1" width="3.42578125" style="55" customWidth="1"/>
    <col min="2" max="3" width="14.42578125" style="55"/>
    <col min="4" max="4" width="26.7109375" style="55" customWidth="1"/>
    <col min="5" max="5" width="18.140625" style="55" bestFit="1" customWidth="1"/>
    <col min="6" max="6" width="16.42578125" style="55" customWidth="1"/>
    <col min="7" max="7" width="12.7109375" style="55" customWidth="1"/>
    <col min="8" max="8" width="17.42578125" style="55" customWidth="1"/>
    <col min="9" max="9" width="3.42578125" style="55" customWidth="1"/>
    <col min="10" max="16384" width="14.42578125" style="55"/>
  </cols>
  <sheetData>
    <row r="1" spans="1:10" ht="39" customHeight="1" x14ac:dyDescent="0.2">
      <c r="A1" s="53"/>
      <c r="B1" s="54"/>
      <c r="C1" s="54"/>
      <c r="D1" s="54"/>
      <c r="E1" s="54"/>
      <c r="F1" s="54"/>
      <c r="G1" s="54"/>
      <c r="H1" s="54"/>
      <c r="I1" s="54"/>
    </row>
    <row r="2" spans="1:10" x14ac:dyDescent="0.25">
      <c r="A2" s="53"/>
      <c r="B2" s="56"/>
      <c r="C2" s="56"/>
      <c r="D2" s="56"/>
      <c r="E2" s="57"/>
      <c r="F2" s="57"/>
      <c r="G2" s="57"/>
      <c r="H2" s="57"/>
      <c r="I2" s="56"/>
    </row>
    <row r="3" spans="1:10" ht="12.75" x14ac:dyDescent="0.2">
      <c r="A3" s="53"/>
      <c r="B3" s="56"/>
      <c r="C3" s="56"/>
      <c r="D3" s="56"/>
      <c r="E3" s="273"/>
      <c r="F3" s="274"/>
      <c r="G3" s="274"/>
      <c r="H3" s="274"/>
      <c r="I3" s="56"/>
    </row>
    <row r="4" spans="1:10" ht="12.75" x14ac:dyDescent="0.2">
      <c r="A4" s="53"/>
      <c r="B4" s="275" t="s">
        <v>83</v>
      </c>
      <c r="C4" s="276"/>
      <c r="D4" s="276"/>
      <c r="E4" s="277"/>
      <c r="F4" s="274"/>
      <c r="G4" s="274"/>
      <c r="H4" s="274"/>
      <c r="I4" s="56"/>
    </row>
    <row r="5" spans="1:10" ht="12.75" x14ac:dyDescent="0.2">
      <c r="A5" s="53"/>
      <c r="B5" s="276"/>
      <c r="C5" s="276"/>
      <c r="D5" s="276"/>
      <c r="E5" s="277"/>
      <c r="F5" s="274"/>
      <c r="G5" s="274"/>
      <c r="H5" s="274"/>
      <c r="I5" s="56"/>
    </row>
    <row r="6" spans="1:10" ht="12.75" x14ac:dyDescent="0.2">
      <c r="A6" s="53"/>
      <c r="B6" s="276"/>
      <c r="C6" s="276"/>
      <c r="D6" s="276"/>
      <c r="E6" s="277"/>
      <c r="F6" s="274"/>
      <c r="G6" s="274"/>
      <c r="H6" s="274"/>
      <c r="I6" s="56"/>
    </row>
    <row r="7" spans="1:10" ht="36.75" customHeight="1" x14ac:dyDescent="0.2">
      <c r="A7" s="53"/>
      <c r="B7" s="54"/>
      <c r="C7" s="54"/>
      <c r="D7" s="54"/>
      <c r="E7" s="54"/>
      <c r="F7" s="54"/>
      <c r="G7" s="54"/>
      <c r="H7" s="54"/>
      <c r="I7" s="54"/>
    </row>
    <row r="8" spans="1:10" ht="21.75" customHeight="1" x14ac:dyDescent="0.2">
      <c r="B8" s="58"/>
      <c r="C8" s="58"/>
      <c r="D8" s="58"/>
      <c r="E8" s="58"/>
      <c r="F8" s="58"/>
      <c r="G8" s="58"/>
      <c r="H8" s="58"/>
      <c r="I8" s="58"/>
      <c r="J8" s="59"/>
    </row>
    <row r="9" spans="1:10" ht="15.75" customHeight="1" x14ac:dyDescent="0.2">
      <c r="B9" s="278"/>
      <c r="C9" s="278"/>
      <c r="D9" s="278"/>
      <c r="E9" s="278"/>
      <c r="F9" s="278"/>
      <c r="G9" s="278"/>
      <c r="H9" s="278"/>
    </row>
    <row r="10" spans="1:10" ht="15" customHeight="1" x14ac:dyDescent="0.2">
      <c r="B10" s="60" t="s">
        <v>84</v>
      </c>
      <c r="G10" s="60"/>
      <c r="H10" s="61" t="s">
        <v>85</v>
      </c>
    </row>
    <row r="11" spans="1:10" ht="14.25" x14ac:dyDescent="0.2">
      <c r="B11" s="62" t="s">
        <v>86</v>
      </c>
      <c r="G11" s="62"/>
      <c r="H11" s="63" t="str">
        <f>"SW"&amp;J11</f>
        <v>SW86</v>
      </c>
      <c r="J11" s="55">
        <v>86</v>
      </c>
    </row>
    <row r="12" spans="1:10" ht="15" x14ac:dyDescent="0.2">
      <c r="B12" s="62" t="s">
        <v>87</v>
      </c>
      <c r="G12" s="60"/>
      <c r="H12" s="61" t="s">
        <v>88</v>
      </c>
      <c r="J12" s="55">
        <v>7</v>
      </c>
    </row>
    <row r="13" spans="1:10" ht="14.25" x14ac:dyDescent="0.2">
      <c r="B13" s="62"/>
      <c r="G13" s="64"/>
      <c r="H13" s="65">
        <v>44952</v>
      </c>
    </row>
    <row r="14" spans="1:10" ht="15" x14ac:dyDescent="0.2">
      <c r="G14" s="60"/>
      <c r="H14" s="61" t="s">
        <v>89</v>
      </c>
    </row>
    <row r="15" spans="1:10" ht="14.25" x14ac:dyDescent="0.2">
      <c r="G15" s="64"/>
      <c r="H15" s="65">
        <f>H13+J12</f>
        <v>44959</v>
      </c>
    </row>
    <row r="16" spans="1:10" ht="14.25" x14ac:dyDescent="0.2">
      <c r="B16" s="62"/>
      <c r="F16" s="65"/>
      <c r="G16" s="65"/>
      <c r="H16" s="65"/>
    </row>
    <row r="17" spans="2:8" ht="14.25" x14ac:dyDescent="0.2">
      <c r="F17" s="65"/>
      <c r="G17" s="65"/>
      <c r="H17" s="66"/>
    </row>
    <row r="18" spans="2:8" ht="22.5" customHeight="1" x14ac:dyDescent="0.2">
      <c r="B18" s="279" t="s">
        <v>90</v>
      </c>
      <c r="C18" s="280"/>
      <c r="D18" s="280"/>
      <c r="E18" s="280"/>
      <c r="F18" s="65"/>
      <c r="G18" s="65"/>
      <c r="H18" s="66"/>
    </row>
    <row r="19" spans="2:8" ht="15" x14ac:dyDescent="0.2">
      <c r="B19" s="279" t="s">
        <v>48</v>
      </c>
      <c r="C19" s="280"/>
      <c r="D19" s="280"/>
      <c r="E19" s="280"/>
      <c r="F19" s="65"/>
      <c r="G19" s="65"/>
      <c r="H19" s="66"/>
    </row>
    <row r="20" spans="2:8" ht="14.25" x14ac:dyDescent="0.2">
      <c r="B20" s="282" t="s">
        <v>199</v>
      </c>
      <c r="C20" s="280"/>
      <c r="D20" s="280"/>
      <c r="E20" s="280"/>
      <c r="F20" s="65"/>
      <c r="G20" s="65"/>
      <c r="H20" s="66"/>
    </row>
    <row r="21" spans="2:8" ht="14.25" x14ac:dyDescent="0.2">
      <c r="B21" s="62"/>
      <c r="C21" s="67"/>
      <c r="D21" s="67"/>
      <c r="E21" s="67"/>
      <c r="F21" s="65"/>
      <c r="G21" s="65"/>
      <c r="H21" s="66"/>
    </row>
    <row r="22" spans="2:8" ht="14.25" x14ac:dyDescent="0.2">
      <c r="B22" s="62"/>
      <c r="C22" s="67"/>
      <c r="D22" s="67"/>
      <c r="E22" s="67"/>
      <c r="F22" s="65"/>
      <c r="G22" s="65"/>
      <c r="H22" s="66"/>
    </row>
    <row r="23" spans="2:8" ht="22.5" customHeight="1" x14ac:dyDescent="0.2">
      <c r="B23" s="282"/>
      <c r="C23" s="280"/>
      <c r="D23" s="280"/>
      <c r="E23" s="280"/>
      <c r="F23" s="67"/>
      <c r="G23" s="67"/>
      <c r="H23" s="67"/>
    </row>
    <row r="24" spans="2:8" ht="27.75" customHeight="1" x14ac:dyDescent="0.2">
      <c r="B24" s="280"/>
      <c r="C24" s="280"/>
      <c r="D24" s="280"/>
      <c r="E24" s="280"/>
      <c r="F24" s="280"/>
      <c r="G24" s="280"/>
      <c r="H24" s="280"/>
    </row>
    <row r="25" spans="2:8" ht="27.75" customHeight="1" x14ac:dyDescent="0.2">
      <c r="B25" s="67"/>
      <c r="C25" s="67"/>
      <c r="D25" s="67"/>
      <c r="E25" s="67"/>
      <c r="F25" s="67"/>
      <c r="G25" s="67"/>
      <c r="H25" s="67"/>
    </row>
    <row r="26" spans="2:8" ht="15.75" customHeight="1" x14ac:dyDescent="0.2">
      <c r="B26" s="67"/>
      <c r="C26" s="67"/>
      <c r="D26" s="67"/>
      <c r="E26" s="67"/>
      <c r="F26" s="67"/>
      <c r="G26" s="67"/>
      <c r="H26" s="67"/>
    </row>
    <row r="27" spans="2:8" ht="15" x14ac:dyDescent="0.25">
      <c r="B27" s="68" t="s">
        <v>88</v>
      </c>
      <c r="C27" s="272" t="s">
        <v>92</v>
      </c>
      <c r="D27" s="272"/>
      <c r="E27" s="69" t="s">
        <v>93</v>
      </c>
      <c r="F27" s="69" t="s">
        <v>94</v>
      </c>
      <c r="G27" s="70" t="s">
        <v>18</v>
      </c>
      <c r="H27" s="69" t="s">
        <v>95</v>
      </c>
    </row>
    <row r="28" spans="2:8" ht="25.5" customHeight="1" x14ac:dyDescent="0.2">
      <c r="B28" s="71">
        <v>44951</v>
      </c>
      <c r="C28" s="290" t="s">
        <v>122</v>
      </c>
      <c r="D28" s="280"/>
      <c r="E28" s="73">
        <v>38</v>
      </c>
      <c r="F28" s="137">
        <v>3</v>
      </c>
      <c r="G28" s="75">
        <v>0.1</v>
      </c>
      <c r="H28" s="73">
        <f>E28*F28</f>
        <v>114</v>
      </c>
    </row>
    <row r="29" spans="2:8" ht="30" customHeight="1" x14ac:dyDescent="0.2">
      <c r="B29" s="76"/>
      <c r="C29" s="286"/>
      <c r="D29" s="287"/>
      <c r="E29" s="77"/>
      <c r="F29" s="78"/>
      <c r="G29" s="78"/>
      <c r="H29" s="77"/>
    </row>
    <row r="30" spans="2:8" ht="30" customHeight="1" x14ac:dyDescent="0.2">
      <c r="B30" s="72"/>
      <c r="C30" s="290"/>
      <c r="D30" s="280"/>
      <c r="E30" s="63"/>
      <c r="F30" s="79" t="s">
        <v>97</v>
      </c>
      <c r="G30" s="79"/>
      <c r="H30" s="80">
        <f>SUM(H28:H29)</f>
        <v>114</v>
      </c>
    </row>
    <row r="31" spans="2:8" ht="30" customHeight="1" x14ac:dyDescent="0.2">
      <c r="B31" s="72"/>
      <c r="C31" s="72"/>
      <c r="D31" s="67"/>
      <c r="E31" s="63"/>
      <c r="F31" s="79" t="s">
        <v>98</v>
      </c>
      <c r="G31" s="79"/>
      <c r="H31" s="80">
        <f>H30*0.1</f>
        <v>11.4</v>
      </c>
    </row>
    <row r="32" spans="2:8" ht="30" customHeight="1" x14ac:dyDescent="0.2">
      <c r="B32" s="72"/>
      <c r="C32" s="290"/>
      <c r="D32" s="280"/>
      <c r="E32" s="63"/>
      <c r="F32" s="81" t="s">
        <v>99</v>
      </c>
      <c r="G32" s="81"/>
      <c r="H32" s="82">
        <v>0</v>
      </c>
    </row>
    <row r="33" spans="1:9" ht="30" customHeight="1" x14ac:dyDescent="0.25">
      <c r="B33" s="83"/>
      <c r="C33" s="291"/>
      <c r="D33" s="278"/>
      <c r="E33" s="84"/>
      <c r="F33" s="85" t="s">
        <v>100</v>
      </c>
      <c r="G33" s="85"/>
      <c r="H33" s="86">
        <f>SUM(H30:H32)</f>
        <v>125.4</v>
      </c>
    </row>
    <row r="34" spans="1:9" ht="30" customHeight="1" x14ac:dyDescent="0.25">
      <c r="B34" s="83"/>
      <c r="C34" s="83"/>
      <c r="E34" s="84"/>
      <c r="F34" s="85"/>
      <c r="G34" s="85"/>
      <c r="H34" s="87"/>
    </row>
    <row r="35" spans="1:9" ht="30" customHeight="1" x14ac:dyDescent="0.25">
      <c r="B35" s="83"/>
      <c r="C35" s="83"/>
      <c r="E35" s="84"/>
      <c r="F35" s="85"/>
      <c r="G35" s="85"/>
      <c r="H35" s="86"/>
    </row>
    <row r="36" spans="1:9" ht="30" customHeight="1" x14ac:dyDescent="0.25">
      <c r="B36" s="83"/>
      <c r="C36" s="83"/>
      <c r="E36" s="84"/>
      <c r="F36" s="85"/>
      <c r="G36" s="85"/>
      <c r="H36" s="86"/>
    </row>
    <row r="37" spans="1:9" ht="30" customHeight="1" x14ac:dyDescent="0.25">
      <c r="B37" s="83"/>
      <c r="C37" s="83"/>
      <c r="E37" s="84"/>
      <c r="F37" s="85"/>
      <c r="G37" s="85"/>
      <c r="H37" s="86"/>
    </row>
    <row r="38" spans="1:9" ht="30" customHeight="1" x14ac:dyDescent="0.25">
      <c r="B38" s="83"/>
      <c r="C38" s="83"/>
      <c r="E38" s="84"/>
      <c r="F38" s="85"/>
      <c r="G38" s="85"/>
      <c r="H38" s="86"/>
    </row>
    <row r="39" spans="1:9" ht="30" customHeight="1" x14ac:dyDescent="0.25">
      <c r="B39" s="83"/>
      <c r="C39" s="83"/>
      <c r="E39" s="84"/>
      <c r="F39" s="85"/>
      <c r="G39" s="85"/>
      <c r="H39" s="86"/>
    </row>
    <row r="40" spans="1:9" ht="30" customHeight="1" x14ac:dyDescent="0.25">
      <c r="B40" s="83"/>
      <c r="C40" s="83"/>
      <c r="E40" s="84"/>
      <c r="F40" s="85"/>
      <c r="G40" s="85"/>
      <c r="H40" s="86"/>
    </row>
    <row r="41" spans="1:9" ht="30" customHeight="1" x14ac:dyDescent="0.2">
      <c r="B41" s="83"/>
      <c r="C41" s="88"/>
      <c r="D41" s="292" t="s">
        <v>101</v>
      </c>
      <c r="E41" s="292"/>
      <c r="F41" s="292"/>
      <c r="G41" s="89"/>
      <c r="H41" s="90"/>
    </row>
    <row r="42" spans="1:9" ht="12.75" customHeight="1" x14ac:dyDescent="0.2"/>
    <row r="43" spans="1:9" ht="12.75" x14ac:dyDescent="0.2">
      <c r="A43" s="53"/>
      <c r="B43" s="91" t="s">
        <v>102</v>
      </c>
      <c r="C43" s="92"/>
      <c r="D43" s="92"/>
      <c r="E43" s="300" t="s">
        <v>103</v>
      </c>
      <c r="F43" s="300"/>
      <c r="G43" s="300"/>
      <c r="H43" s="300"/>
      <c r="I43" s="300"/>
    </row>
    <row r="44" spans="1:9" ht="14.25" customHeight="1" x14ac:dyDescent="0.2">
      <c r="A44" s="53"/>
      <c r="B44" s="94" t="s">
        <v>104</v>
      </c>
      <c r="C44" s="53"/>
      <c r="D44" s="53"/>
      <c r="E44" s="283">
        <f>H33</f>
        <v>125.4</v>
      </c>
      <c r="F44" s="283"/>
      <c r="G44" s="283"/>
      <c r="H44" s="283"/>
      <c r="I44" s="283"/>
    </row>
    <row r="45" spans="1:9" ht="15.75" customHeight="1" x14ac:dyDescent="0.2">
      <c r="A45" s="53"/>
      <c r="B45" s="94" t="s">
        <v>105</v>
      </c>
      <c r="C45" s="53"/>
      <c r="D45" s="53"/>
      <c r="E45" s="283"/>
      <c r="F45" s="283"/>
      <c r="G45" s="283"/>
      <c r="H45" s="283"/>
      <c r="I45" s="283"/>
    </row>
    <row r="46" spans="1:9" ht="14.25" x14ac:dyDescent="0.2">
      <c r="A46" s="53"/>
      <c r="B46" s="94" t="s">
        <v>106</v>
      </c>
      <c r="C46" s="53"/>
      <c r="D46" s="53"/>
      <c r="E46" s="95"/>
      <c r="F46" s="95"/>
      <c r="G46" s="95"/>
      <c r="H46" s="95"/>
      <c r="I46" s="95"/>
    </row>
    <row r="47" spans="1:9" ht="14.25" x14ac:dyDescent="0.2">
      <c r="A47" s="53"/>
      <c r="B47" s="94" t="s">
        <v>107</v>
      </c>
      <c r="C47" s="96"/>
      <c r="D47" s="96"/>
      <c r="E47" s="97"/>
      <c r="F47" s="97"/>
      <c r="G47" s="97"/>
      <c r="H47" s="97"/>
      <c r="I47" s="95"/>
    </row>
    <row r="48" spans="1:9" ht="53.25" customHeight="1" x14ac:dyDescent="0.2">
      <c r="B48" s="284"/>
      <c r="C48" s="278"/>
      <c r="D48" s="278"/>
      <c r="E48" s="278"/>
      <c r="F48" s="278"/>
      <c r="G48" s="278"/>
      <c r="H48" s="278"/>
    </row>
    <row r="52" spans="6:7" ht="15.75" customHeight="1" x14ac:dyDescent="0.2">
      <c r="F52" s="62"/>
      <c r="G52" s="62"/>
    </row>
    <row r="53" spans="6:7" ht="15.75" customHeight="1" x14ac:dyDescent="0.2">
      <c r="F53" s="62"/>
      <c r="G53" s="62"/>
    </row>
    <row r="54" spans="6:7" ht="15.75" customHeight="1" x14ac:dyDescent="0.2">
      <c r="F54" s="62"/>
      <c r="G54" s="62"/>
    </row>
    <row r="57" spans="6:7" ht="15.75" customHeight="1" x14ac:dyDescent="0.2">
      <c r="F57" s="62"/>
      <c r="G57" s="62"/>
    </row>
    <row r="59" spans="6:7" ht="15.75" customHeight="1" x14ac:dyDescent="0.2">
      <c r="F59" s="62"/>
      <c r="G59" s="62"/>
    </row>
  </sheetData>
  <mergeCells count="21">
    <mergeCell ref="E43:I43"/>
    <mergeCell ref="E44:I45"/>
    <mergeCell ref="B48:H48"/>
    <mergeCell ref="C28:D28"/>
    <mergeCell ref="C29:D29"/>
    <mergeCell ref="C30:D30"/>
    <mergeCell ref="C32:D32"/>
    <mergeCell ref="C33:D33"/>
    <mergeCell ref="D41:F41"/>
    <mergeCell ref="C27:D27"/>
    <mergeCell ref="E3:H3"/>
    <mergeCell ref="B4:D6"/>
    <mergeCell ref="E4:H4"/>
    <mergeCell ref="E5:H5"/>
    <mergeCell ref="E6:H6"/>
    <mergeCell ref="B9:H9"/>
    <mergeCell ref="B18:E18"/>
    <mergeCell ref="B19:E19"/>
    <mergeCell ref="B20:E20"/>
    <mergeCell ref="B23:E23"/>
    <mergeCell ref="B24:H24"/>
  </mergeCells>
  <conditionalFormatting sqref="B26">
    <cfRule type="notContainsBlanks" dxfId="27" priority="1">
      <formula>LEN(TRIM(B26))&gt;0</formula>
    </cfRule>
  </conditionalFormatting>
  <hyperlinks>
    <hyperlink ref="B12" r:id="rId1" xr:uid="{7452F4A3-A15A-4A2F-B89A-39D2B381E769}"/>
  </hyperlinks>
  <printOptions horizontalCentered="1" verticalCentered="1"/>
  <pageMargins left="0.08" right="3.937007874015748E-2" top="0.35433070866141736" bottom="0.27559055118110237" header="0.31496062992125984" footer="0.31496062992125984"/>
  <pageSetup paperSize="9" scale="81" orientation="portrait" r:id="rId2"/>
  <drawing r:id="rId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C52E01-2DFE-4721-BC59-1EC495B2DA3E}">
  <sheetPr codeName="Sheet33">
    <tabColor theme="6" tint="0.79998168889431442"/>
    <outlinePr summaryBelow="0" summaryRight="0"/>
    <pageSetUpPr fitToPage="1"/>
  </sheetPr>
  <dimension ref="A1:K59"/>
  <sheetViews>
    <sheetView showGridLines="0" topLeftCell="A7" zoomScale="120" zoomScaleNormal="120" workbookViewId="0">
      <selection activeCell="H11" sqref="H11"/>
    </sheetView>
  </sheetViews>
  <sheetFormatPr defaultColWidth="14.42578125" defaultRowHeight="15.75" customHeight="1" x14ac:dyDescent="0.2"/>
  <cols>
    <col min="1" max="1" width="3.42578125" style="55" customWidth="1"/>
    <col min="2" max="3" width="14.42578125" style="55"/>
    <col min="4" max="4" width="26.7109375" style="55" customWidth="1"/>
    <col min="5" max="5" width="18.140625" style="55" bestFit="1" customWidth="1"/>
    <col min="6" max="6" width="16.42578125" style="55" customWidth="1"/>
    <col min="7" max="7" width="12.7109375" style="55" customWidth="1"/>
    <col min="8" max="8" width="17.42578125" style="55" customWidth="1"/>
    <col min="9" max="9" width="3.42578125" style="55" customWidth="1"/>
    <col min="10" max="16384" width="14.42578125" style="55"/>
  </cols>
  <sheetData>
    <row r="1" spans="1:10" ht="39" customHeight="1" x14ac:dyDescent="0.2">
      <c r="A1" s="53"/>
      <c r="B1" s="54"/>
      <c r="C1" s="54"/>
      <c r="D1" s="54"/>
      <c r="E1" s="54"/>
      <c r="F1" s="54"/>
      <c r="G1" s="54"/>
      <c r="H1" s="54"/>
      <c r="I1" s="54"/>
    </row>
    <row r="2" spans="1:10" x14ac:dyDescent="0.25">
      <c r="A2" s="53"/>
      <c r="B2" s="56"/>
      <c r="C2" s="56"/>
      <c r="D2" s="56"/>
      <c r="E2" s="57"/>
      <c r="F2" s="57"/>
      <c r="G2" s="57"/>
      <c r="H2" s="57"/>
      <c r="I2" s="56"/>
    </row>
    <row r="3" spans="1:10" ht="12.75" x14ac:dyDescent="0.2">
      <c r="A3" s="53"/>
      <c r="B3" s="56"/>
      <c r="C3" s="56"/>
      <c r="D3" s="56"/>
      <c r="E3" s="273"/>
      <c r="F3" s="274"/>
      <c r="G3" s="274"/>
      <c r="H3" s="274"/>
      <c r="I3" s="56"/>
    </row>
    <row r="4" spans="1:10" ht="12.75" x14ac:dyDescent="0.2">
      <c r="A4" s="53"/>
      <c r="B4" s="275" t="s">
        <v>83</v>
      </c>
      <c r="C4" s="276"/>
      <c r="D4" s="276"/>
      <c r="E4" s="277"/>
      <c r="F4" s="274"/>
      <c r="G4" s="274"/>
      <c r="H4" s="274"/>
      <c r="I4" s="56"/>
    </row>
    <row r="5" spans="1:10" ht="12.75" x14ac:dyDescent="0.2">
      <c r="A5" s="53"/>
      <c r="B5" s="276"/>
      <c r="C5" s="276"/>
      <c r="D5" s="276"/>
      <c r="E5" s="277"/>
      <c r="F5" s="274"/>
      <c r="G5" s="274"/>
      <c r="H5" s="274"/>
      <c r="I5" s="56"/>
    </row>
    <row r="6" spans="1:10" ht="12.75" x14ac:dyDescent="0.2">
      <c r="A6" s="53"/>
      <c r="B6" s="276"/>
      <c r="C6" s="276"/>
      <c r="D6" s="276"/>
      <c r="E6" s="277"/>
      <c r="F6" s="274"/>
      <c r="G6" s="274"/>
      <c r="H6" s="274"/>
      <c r="I6" s="56"/>
    </row>
    <row r="7" spans="1:10" ht="36.75" customHeight="1" x14ac:dyDescent="0.2">
      <c r="A7" s="53"/>
      <c r="B7" s="54"/>
      <c r="C7" s="54"/>
      <c r="D7" s="54"/>
      <c r="E7" s="54"/>
      <c r="F7" s="54"/>
      <c r="G7" s="54"/>
      <c r="H7" s="54"/>
      <c r="I7" s="54"/>
    </row>
    <row r="8" spans="1:10" ht="21.75" customHeight="1" x14ac:dyDescent="0.2">
      <c r="B8" s="58"/>
      <c r="C8" s="58"/>
      <c r="D8" s="58"/>
      <c r="E8" s="58"/>
      <c r="F8" s="58"/>
      <c r="G8" s="58"/>
      <c r="H8" s="58"/>
      <c r="I8" s="58"/>
      <c r="J8" s="59"/>
    </row>
    <row r="9" spans="1:10" ht="15.75" customHeight="1" x14ac:dyDescent="0.2">
      <c r="B9" s="278"/>
      <c r="C9" s="278"/>
      <c r="D9" s="278"/>
      <c r="E9" s="278"/>
      <c r="F9" s="278"/>
      <c r="G9" s="278"/>
      <c r="H9" s="278"/>
    </row>
    <row r="10" spans="1:10" ht="15" customHeight="1" x14ac:dyDescent="0.2">
      <c r="B10" s="60" t="s">
        <v>84</v>
      </c>
      <c r="G10" s="60"/>
      <c r="H10" s="61" t="s">
        <v>85</v>
      </c>
    </row>
    <row r="11" spans="1:10" ht="14.25" x14ac:dyDescent="0.2">
      <c r="B11" s="62" t="s">
        <v>86</v>
      </c>
      <c r="G11" s="62"/>
      <c r="H11" s="63" t="str">
        <f>"JM"&amp;J11</f>
        <v>JM1055</v>
      </c>
      <c r="J11" s="55">
        <v>1055</v>
      </c>
    </row>
    <row r="12" spans="1:10" ht="15" x14ac:dyDescent="0.2">
      <c r="B12" s="62" t="s">
        <v>87</v>
      </c>
      <c r="G12" s="60"/>
      <c r="H12" s="61" t="s">
        <v>88</v>
      </c>
      <c r="J12" s="55">
        <v>7</v>
      </c>
    </row>
    <row r="13" spans="1:10" ht="14.25" x14ac:dyDescent="0.2">
      <c r="B13" s="62"/>
      <c r="G13" s="64"/>
      <c r="H13" s="65">
        <v>44952</v>
      </c>
    </row>
    <row r="14" spans="1:10" ht="15" x14ac:dyDescent="0.2">
      <c r="G14" s="60"/>
      <c r="H14" s="61" t="s">
        <v>89</v>
      </c>
    </row>
    <row r="15" spans="1:10" ht="14.25" x14ac:dyDescent="0.2">
      <c r="G15" s="64"/>
      <c r="H15" s="65">
        <f>H13+J12</f>
        <v>44959</v>
      </c>
    </row>
    <row r="16" spans="1:10" ht="14.25" x14ac:dyDescent="0.2">
      <c r="B16" s="62"/>
      <c r="F16" s="65"/>
      <c r="G16" s="65"/>
      <c r="H16" s="65"/>
    </row>
    <row r="17" spans="2:11" ht="14.25" x14ac:dyDescent="0.2">
      <c r="F17" s="65"/>
      <c r="G17" s="65"/>
      <c r="H17" s="66"/>
    </row>
    <row r="18" spans="2:11" ht="22.5" customHeight="1" x14ac:dyDescent="0.2">
      <c r="B18" s="279" t="s">
        <v>90</v>
      </c>
      <c r="C18" s="280"/>
      <c r="D18" s="280"/>
      <c r="E18" s="280"/>
      <c r="F18" s="65"/>
      <c r="G18" s="65"/>
      <c r="H18" s="66"/>
    </row>
    <row r="19" spans="2:11" ht="15" x14ac:dyDescent="0.2">
      <c r="B19" s="279" t="s">
        <v>200</v>
      </c>
      <c r="C19" s="280"/>
      <c r="D19" s="280"/>
      <c r="E19" s="280"/>
      <c r="F19" s="65"/>
      <c r="G19" s="65"/>
      <c r="H19" s="66"/>
    </row>
    <row r="20" spans="2:11" ht="14.25" x14ac:dyDescent="0.2">
      <c r="B20" s="282" t="s">
        <v>201</v>
      </c>
      <c r="C20" s="280"/>
      <c r="D20" s="280"/>
      <c r="E20" s="280"/>
      <c r="F20" s="65"/>
      <c r="G20" s="65"/>
      <c r="H20" s="66"/>
    </row>
    <row r="21" spans="2:11" ht="14.25" x14ac:dyDescent="0.2">
      <c r="B21" s="62"/>
      <c r="C21" s="67"/>
      <c r="D21" s="67"/>
      <c r="E21" s="67"/>
      <c r="F21" s="65"/>
      <c r="G21" s="65"/>
      <c r="H21" s="66"/>
      <c r="K21" s="139" t="s">
        <v>202</v>
      </c>
    </row>
    <row r="22" spans="2:11" ht="14.25" x14ac:dyDescent="0.2">
      <c r="B22" s="62"/>
      <c r="C22" s="67"/>
      <c r="D22" s="67"/>
      <c r="E22" s="67"/>
      <c r="F22" s="65"/>
      <c r="G22" s="65"/>
      <c r="H22" s="66"/>
      <c r="K22" s="116" t="s">
        <v>203</v>
      </c>
    </row>
    <row r="23" spans="2:11" ht="22.5" customHeight="1" x14ac:dyDescent="0.2">
      <c r="B23" s="282"/>
      <c r="C23" s="280"/>
      <c r="D23" s="280"/>
      <c r="E23" s="280"/>
      <c r="F23" s="67"/>
      <c r="G23" s="67"/>
      <c r="H23" s="67"/>
    </row>
    <row r="24" spans="2:11" ht="27.75" customHeight="1" x14ac:dyDescent="0.2">
      <c r="B24" s="280"/>
      <c r="C24" s="280"/>
      <c r="D24" s="280"/>
      <c r="E24" s="280"/>
      <c r="F24" s="280"/>
      <c r="G24" s="280"/>
      <c r="H24" s="280"/>
    </row>
    <row r="25" spans="2:11" ht="27.75" customHeight="1" x14ac:dyDescent="0.2">
      <c r="B25" s="67"/>
      <c r="C25" s="67"/>
      <c r="D25" s="67"/>
      <c r="E25" s="67"/>
      <c r="F25" s="67"/>
      <c r="G25" s="67"/>
      <c r="H25" s="67"/>
    </row>
    <row r="26" spans="2:11" ht="15.75" customHeight="1" x14ac:dyDescent="0.2">
      <c r="B26" s="67"/>
      <c r="C26" s="67"/>
      <c r="D26" s="67"/>
      <c r="E26" s="67"/>
      <c r="F26" s="67"/>
      <c r="G26" s="67"/>
      <c r="H26" s="67"/>
    </row>
    <row r="27" spans="2:11" ht="15" x14ac:dyDescent="0.25">
      <c r="B27" s="68" t="s">
        <v>88</v>
      </c>
      <c r="C27" s="272" t="s">
        <v>92</v>
      </c>
      <c r="D27" s="272"/>
      <c r="E27" s="69" t="s">
        <v>93</v>
      </c>
      <c r="F27" s="69" t="s">
        <v>94</v>
      </c>
      <c r="G27" s="70" t="s">
        <v>18</v>
      </c>
      <c r="H27" s="69" t="s">
        <v>95</v>
      </c>
    </row>
    <row r="28" spans="2:11" ht="25.5" customHeight="1" x14ac:dyDescent="0.2">
      <c r="B28" s="71">
        <v>44951</v>
      </c>
      <c r="C28" s="290" t="s">
        <v>122</v>
      </c>
      <c r="D28" s="280"/>
      <c r="E28" s="73">
        <v>39</v>
      </c>
      <c r="F28" s="137">
        <v>2</v>
      </c>
      <c r="G28" s="75">
        <v>0.1</v>
      </c>
      <c r="H28" s="73">
        <f>E28*F28</f>
        <v>78</v>
      </c>
    </row>
    <row r="29" spans="2:11" ht="30" customHeight="1" x14ac:dyDescent="0.2">
      <c r="B29" s="76"/>
      <c r="C29" s="286"/>
      <c r="D29" s="287"/>
      <c r="E29" s="77"/>
      <c r="F29" s="78"/>
      <c r="G29" s="78"/>
      <c r="H29" s="77"/>
    </row>
    <row r="30" spans="2:11" ht="30" customHeight="1" x14ac:dyDescent="0.2">
      <c r="B30" s="72"/>
      <c r="C30" s="290"/>
      <c r="D30" s="280"/>
      <c r="E30" s="63"/>
      <c r="F30" s="79" t="s">
        <v>97</v>
      </c>
      <c r="G30" s="79"/>
      <c r="H30" s="80">
        <f>SUM(H28:H29)</f>
        <v>78</v>
      </c>
    </row>
    <row r="31" spans="2:11" ht="30" customHeight="1" x14ac:dyDescent="0.2">
      <c r="B31" s="72"/>
      <c r="C31" s="72"/>
      <c r="D31" s="67"/>
      <c r="E31" s="63"/>
      <c r="F31" s="79" t="s">
        <v>98</v>
      </c>
      <c r="G31" s="79"/>
      <c r="H31" s="80">
        <f>H30*0.1</f>
        <v>7.8000000000000007</v>
      </c>
    </row>
    <row r="32" spans="2:11" ht="30" customHeight="1" x14ac:dyDescent="0.2">
      <c r="B32" s="72"/>
      <c r="C32" s="290"/>
      <c r="D32" s="280"/>
      <c r="E32" s="63"/>
      <c r="F32" s="81" t="s">
        <v>99</v>
      </c>
      <c r="G32" s="81"/>
      <c r="H32" s="82">
        <v>0</v>
      </c>
    </row>
    <row r="33" spans="1:9" ht="30" customHeight="1" x14ac:dyDescent="0.25">
      <c r="B33" s="83"/>
      <c r="C33" s="291"/>
      <c r="D33" s="278"/>
      <c r="E33" s="84"/>
      <c r="F33" s="85" t="s">
        <v>100</v>
      </c>
      <c r="G33" s="85"/>
      <c r="H33" s="86">
        <f>SUM(H30:H32)</f>
        <v>85.8</v>
      </c>
    </row>
    <row r="34" spans="1:9" ht="30" customHeight="1" x14ac:dyDescent="0.25">
      <c r="B34" s="83"/>
      <c r="C34" s="83"/>
      <c r="E34" s="84"/>
      <c r="F34" s="85"/>
      <c r="G34" s="85"/>
      <c r="H34" s="87"/>
    </row>
    <row r="35" spans="1:9" ht="30" customHeight="1" x14ac:dyDescent="0.25">
      <c r="B35" s="83"/>
      <c r="C35" s="83"/>
      <c r="E35" s="84"/>
      <c r="F35" s="85"/>
      <c r="G35" s="85"/>
      <c r="H35" s="86"/>
    </row>
    <row r="36" spans="1:9" ht="30" customHeight="1" x14ac:dyDescent="0.25">
      <c r="B36" s="83"/>
      <c r="C36" s="83"/>
      <c r="E36" s="84"/>
      <c r="F36" s="85"/>
      <c r="G36" s="85"/>
      <c r="H36" s="86"/>
    </row>
    <row r="37" spans="1:9" ht="30" customHeight="1" x14ac:dyDescent="0.25">
      <c r="B37" s="83"/>
      <c r="C37" s="83"/>
      <c r="E37" s="84"/>
      <c r="F37" s="85"/>
      <c r="G37" s="85"/>
      <c r="H37" s="86"/>
    </row>
    <row r="38" spans="1:9" ht="30" customHeight="1" x14ac:dyDescent="0.25">
      <c r="B38" s="83"/>
      <c r="C38" s="83"/>
      <c r="E38" s="84"/>
      <c r="F38" s="85"/>
      <c r="G38" s="85"/>
      <c r="H38" s="86"/>
    </row>
    <row r="39" spans="1:9" ht="30" customHeight="1" x14ac:dyDescent="0.25">
      <c r="B39" s="83"/>
      <c r="C39" s="83"/>
      <c r="E39" s="84"/>
      <c r="F39" s="85"/>
      <c r="G39" s="85"/>
      <c r="H39" s="86"/>
    </row>
    <row r="40" spans="1:9" ht="30" customHeight="1" x14ac:dyDescent="0.25">
      <c r="B40" s="83"/>
      <c r="C40" s="83"/>
      <c r="E40" s="84"/>
      <c r="F40" s="85"/>
      <c r="G40" s="85"/>
      <c r="H40" s="86"/>
    </row>
    <row r="41" spans="1:9" ht="30" customHeight="1" x14ac:dyDescent="0.2">
      <c r="B41" s="83"/>
      <c r="C41" s="88"/>
      <c r="D41" s="292" t="s">
        <v>101</v>
      </c>
      <c r="E41" s="292"/>
      <c r="F41" s="292"/>
      <c r="G41" s="89"/>
      <c r="H41" s="90"/>
    </row>
    <row r="42" spans="1:9" ht="12.75" customHeight="1" x14ac:dyDescent="0.2"/>
    <row r="43" spans="1:9" ht="12.75" x14ac:dyDescent="0.2">
      <c r="A43" s="53"/>
      <c r="B43" s="91" t="s">
        <v>102</v>
      </c>
      <c r="C43" s="92"/>
      <c r="D43" s="92"/>
      <c r="E43" s="300" t="s">
        <v>103</v>
      </c>
      <c r="F43" s="300"/>
      <c r="G43" s="300"/>
      <c r="H43" s="300"/>
      <c r="I43" s="300"/>
    </row>
    <row r="44" spans="1:9" ht="14.25" customHeight="1" x14ac:dyDescent="0.2">
      <c r="A44" s="53"/>
      <c r="B44" s="94" t="s">
        <v>104</v>
      </c>
      <c r="C44" s="53"/>
      <c r="D44" s="53"/>
      <c r="E44" s="283">
        <f>H33</f>
        <v>85.8</v>
      </c>
      <c r="F44" s="283"/>
      <c r="G44" s="283"/>
      <c r="H44" s="283"/>
      <c r="I44" s="283"/>
    </row>
    <row r="45" spans="1:9" ht="15.75" customHeight="1" x14ac:dyDescent="0.2">
      <c r="A45" s="53"/>
      <c r="B45" s="94" t="s">
        <v>105</v>
      </c>
      <c r="C45" s="53"/>
      <c r="D45" s="53"/>
      <c r="E45" s="283"/>
      <c r="F45" s="283"/>
      <c r="G45" s="283"/>
      <c r="H45" s="283"/>
      <c r="I45" s="283"/>
    </row>
    <row r="46" spans="1:9" ht="14.25" x14ac:dyDescent="0.2">
      <c r="A46" s="53"/>
      <c r="B46" s="94" t="s">
        <v>106</v>
      </c>
      <c r="C46" s="53"/>
      <c r="D46" s="53"/>
      <c r="E46" s="95"/>
      <c r="F46" s="95"/>
      <c r="G46" s="95"/>
      <c r="H46" s="95"/>
      <c r="I46" s="95"/>
    </row>
    <row r="47" spans="1:9" ht="14.25" x14ac:dyDescent="0.2">
      <c r="A47" s="53"/>
      <c r="B47" s="94" t="s">
        <v>107</v>
      </c>
      <c r="C47" s="96"/>
      <c r="D47" s="96"/>
      <c r="E47" s="97"/>
      <c r="F47" s="97"/>
      <c r="G47" s="97"/>
      <c r="H47" s="97"/>
      <c r="I47" s="95"/>
    </row>
    <row r="48" spans="1:9" ht="53.25" customHeight="1" x14ac:dyDescent="0.2">
      <c r="B48" s="284"/>
      <c r="C48" s="278"/>
      <c r="D48" s="278"/>
      <c r="E48" s="278"/>
      <c r="F48" s="278"/>
      <c r="G48" s="278"/>
      <c r="H48" s="278"/>
    </row>
    <row r="52" spans="6:7" ht="15.75" customHeight="1" x14ac:dyDescent="0.2">
      <c r="F52" s="62"/>
      <c r="G52" s="62"/>
    </row>
    <row r="53" spans="6:7" ht="15.75" customHeight="1" x14ac:dyDescent="0.2">
      <c r="F53" s="62"/>
      <c r="G53" s="62"/>
    </row>
    <row r="54" spans="6:7" ht="15.75" customHeight="1" x14ac:dyDescent="0.2">
      <c r="F54" s="62"/>
      <c r="G54" s="62"/>
    </row>
    <row r="57" spans="6:7" ht="15.75" customHeight="1" x14ac:dyDescent="0.2">
      <c r="F57" s="62"/>
      <c r="G57" s="62"/>
    </row>
    <row r="59" spans="6:7" ht="15.75" customHeight="1" x14ac:dyDescent="0.2">
      <c r="F59" s="62"/>
      <c r="G59" s="62"/>
    </row>
  </sheetData>
  <mergeCells count="21">
    <mergeCell ref="E43:I43"/>
    <mergeCell ref="E44:I45"/>
    <mergeCell ref="B48:H48"/>
    <mergeCell ref="C28:D28"/>
    <mergeCell ref="C29:D29"/>
    <mergeCell ref="C30:D30"/>
    <mergeCell ref="C32:D32"/>
    <mergeCell ref="C33:D33"/>
    <mergeCell ref="D41:F41"/>
    <mergeCell ref="C27:D27"/>
    <mergeCell ref="E3:H3"/>
    <mergeCell ref="B4:D6"/>
    <mergeCell ref="E4:H4"/>
    <mergeCell ref="E5:H5"/>
    <mergeCell ref="E6:H6"/>
    <mergeCell ref="B9:H9"/>
    <mergeCell ref="B18:E18"/>
    <mergeCell ref="B19:E19"/>
    <mergeCell ref="B20:E20"/>
    <mergeCell ref="B23:E23"/>
    <mergeCell ref="B24:H24"/>
  </mergeCells>
  <conditionalFormatting sqref="B26">
    <cfRule type="notContainsBlanks" dxfId="26" priority="1">
      <formula>LEN(TRIM(B26))&gt;0</formula>
    </cfRule>
  </conditionalFormatting>
  <hyperlinks>
    <hyperlink ref="B12" r:id="rId1" xr:uid="{3F15BAEB-7713-4F3D-930D-46137657F41C}"/>
    <hyperlink ref="K22" r:id="rId2" display="mailto:Tim.moltmann@gmail.com" xr:uid="{307B8FE4-8BBD-4161-ACAE-1D66099DCCF3}"/>
  </hyperlinks>
  <printOptions horizontalCentered="1" verticalCentered="1"/>
  <pageMargins left="0.08" right="3.937007874015748E-2" top="0.35433070866141736" bottom="0.27559055118110237" header="0.31496062992125984" footer="0.31496062992125984"/>
  <pageSetup paperSize="9" scale="81" orientation="portrait" r:id="rId3"/>
  <drawing r:id="rId4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A0D541-2D40-44F3-A810-60546B722A59}">
  <sheetPr codeName="Sheet34">
    <tabColor theme="7" tint="0.59999389629810485"/>
    <outlinePr summaryBelow="0" summaryRight="0"/>
    <pageSetUpPr fitToPage="1"/>
  </sheetPr>
  <dimension ref="A1:M59"/>
  <sheetViews>
    <sheetView showGridLines="0" topLeftCell="A2" workbookViewId="0">
      <selection activeCell="H11" sqref="H11"/>
    </sheetView>
  </sheetViews>
  <sheetFormatPr defaultColWidth="14.42578125" defaultRowHeight="15.75" customHeight="1" x14ac:dyDescent="0.2"/>
  <cols>
    <col min="1" max="1" width="3.42578125" style="55" customWidth="1"/>
    <col min="2" max="3" width="14.42578125" style="55"/>
    <col min="4" max="4" width="26.7109375" style="55" customWidth="1"/>
    <col min="5" max="5" width="18.140625" style="55" bestFit="1" customWidth="1"/>
    <col min="6" max="6" width="16.42578125" style="55" customWidth="1"/>
    <col min="7" max="7" width="12.7109375" style="55" customWidth="1"/>
    <col min="8" max="8" width="17.42578125" style="55" customWidth="1"/>
    <col min="9" max="9" width="3.42578125" style="55" customWidth="1"/>
    <col min="10" max="16384" width="14.42578125" style="55"/>
  </cols>
  <sheetData>
    <row r="1" spans="1:10" ht="39" customHeight="1" x14ac:dyDescent="0.2">
      <c r="A1" s="53"/>
      <c r="B1" s="54"/>
      <c r="C1" s="54"/>
      <c r="D1" s="54"/>
      <c r="E1" s="54"/>
      <c r="F1" s="54"/>
      <c r="G1" s="54"/>
      <c r="H1" s="54"/>
      <c r="I1" s="54"/>
    </row>
    <row r="2" spans="1:10" x14ac:dyDescent="0.25">
      <c r="A2" s="53"/>
      <c r="B2" s="56"/>
      <c r="C2" s="56"/>
      <c r="D2" s="56"/>
      <c r="E2" s="57"/>
      <c r="F2" s="57"/>
      <c r="G2" s="57"/>
      <c r="H2" s="57"/>
      <c r="I2" s="56"/>
    </row>
    <row r="3" spans="1:10" ht="12.75" x14ac:dyDescent="0.2">
      <c r="A3" s="53"/>
      <c r="B3" s="56"/>
      <c r="C3" s="56"/>
      <c r="D3" s="56"/>
      <c r="E3" s="273"/>
      <c r="F3" s="274"/>
      <c r="G3" s="274"/>
      <c r="H3" s="274"/>
      <c r="I3" s="56"/>
    </row>
    <row r="4" spans="1:10" ht="12.75" x14ac:dyDescent="0.2">
      <c r="A4" s="53"/>
      <c r="B4" s="275" t="s">
        <v>83</v>
      </c>
      <c r="C4" s="276"/>
      <c r="D4" s="276"/>
      <c r="E4" s="277"/>
      <c r="F4" s="274"/>
      <c r="G4" s="274"/>
      <c r="H4" s="274"/>
      <c r="I4" s="56"/>
    </row>
    <row r="5" spans="1:10" ht="12.75" x14ac:dyDescent="0.2">
      <c r="A5" s="53"/>
      <c r="B5" s="276"/>
      <c r="C5" s="276"/>
      <c r="D5" s="276"/>
      <c r="E5" s="277"/>
      <c r="F5" s="274"/>
      <c r="G5" s="274"/>
      <c r="H5" s="274"/>
      <c r="I5" s="56"/>
    </row>
    <row r="6" spans="1:10" ht="12.75" x14ac:dyDescent="0.2">
      <c r="A6" s="53"/>
      <c r="B6" s="276"/>
      <c r="C6" s="276"/>
      <c r="D6" s="276"/>
      <c r="E6" s="277"/>
      <c r="F6" s="274"/>
      <c r="G6" s="274"/>
      <c r="H6" s="274"/>
      <c r="I6" s="56"/>
    </row>
    <row r="7" spans="1:10" ht="36.75" customHeight="1" x14ac:dyDescent="0.2">
      <c r="A7" s="53"/>
      <c r="B7" s="54"/>
      <c r="C7" s="54"/>
      <c r="D7" s="54"/>
      <c r="E7" s="54"/>
      <c r="F7" s="54"/>
      <c r="G7" s="54"/>
      <c r="H7" s="54"/>
      <c r="I7" s="54"/>
    </row>
    <row r="8" spans="1:10" ht="21.75" customHeight="1" x14ac:dyDescent="0.2">
      <c r="B8" s="58"/>
      <c r="C8" s="58"/>
      <c r="D8" s="58"/>
      <c r="E8" s="58"/>
      <c r="F8" s="58"/>
      <c r="G8" s="58"/>
      <c r="H8" s="58"/>
      <c r="I8" s="58"/>
      <c r="J8" s="59"/>
    </row>
    <row r="9" spans="1:10" ht="15.75" customHeight="1" x14ac:dyDescent="0.2">
      <c r="B9" s="278"/>
      <c r="C9" s="278"/>
      <c r="D9" s="278"/>
      <c r="E9" s="278"/>
      <c r="F9" s="278"/>
      <c r="G9" s="278"/>
      <c r="H9" s="278"/>
    </row>
    <row r="10" spans="1:10" ht="15" customHeight="1" x14ac:dyDescent="0.2">
      <c r="B10" s="60" t="s">
        <v>84</v>
      </c>
      <c r="G10" s="60"/>
      <c r="H10" s="61" t="s">
        <v>85</v>
      </c>
    </row>
    <row r="11" spans="1:10" ht="14.25" x14ac:dyDescent="0.2">
      <c r="B11" s="62" t="s">
        <v>86</v>
      </c>
      <c r="G11" s="62"/>
      <c r="H11" s="63" t="str">
        <f>"EH"&amp;J11</f>
        <v>EH41</v>
      </c>
      <c r="J11" s="55">
        <v>41</v>
      </c>
    </row>
    <row r="12" spans="1:10" ht="15" x14ac:dyDescent="0.2">
      <c r="B12" s="62" t="s">
        <v>87</v>
      </c>
      <c r="G12" s="60"/>
      <c r="H12" s="61" t="s">
        <v>88</v>
      </c>
      <c r="J12" s="55">
        <v>7</v>
      </c>
    </row>
    <row r="13" spans="1:10" ht="14.25" x14ac:dyDescent="0.2">
      <c r="B13" s="62"/>
      <c r="G13" s="64"/>
      <c r="H13" s="65">
        <v>44940</v>
      </c>
    </row>
    <row r="14" spans="1:10" ht="15" x14ac:dyDescent="0.2">
      <c r="G14" s="60"/>
      <c r="H14" s="61" t="s">
        <v>89</v>
      </c>
    </row>
    <row r="15" spans="1:10" ht="14.25" x14ac:dyDescent="0.2">
      <c r="G15" s="64"/>
      <c r="H15" s="65">
        <f>H13+J12</f>
        <v>44947</v>
      </c>
      <c r="J15" s="139"/>
    </row>
    <row r="16" spans="1:10" ht="14.25" x14ac:dyDescent="0.2">
      <c r="B16" s="62"/>
      <c r="F16" s="65"/>
      <c r="G16" s="65"/>
      <c r="H16" s="65"/>
    </row>
    <row r="17" spans="2:13" ht="14.25" x14ac:dyDescent="0.2">
      <c r="F17" s="65"/>
      <c r="G17" s="65"/>
      <c r="H17" s="66"/>
    </row>
    <row r="18" spans="2:13" ht="22.5" customHeight="1" x14ac:dyDescent="0.2">
      <c r="B18" s="279" t="s">
        <v>90</v>
      </c>
      <c r="C18" s="280"/>
      <c r="D18" s="280"/>
      <c r="E18" s="280"/>
      <c r="F18" s="65"/>
      <c r="G18" s="65"/>
      <c r="H18" s="66"/>
    </row>
    <row r="19" spans="2:13" ht="15" x14ac:dyDescent="0.2">
      <c r="B19" s="279" t="s">
        <v>31</v>
      </c>
      <c r="C19" s="280"/>
      <c r="D19" s="280"/>
      <c r="E19" s="280"/>
      <c r="F19" s="65"/>
      <c r="G19" s="65"/>
      <c r="H19" s="66"/>
    </row>
    <row r="20" spans="2:13" ht="14.25" x14ac:dyDescent="0.2">
      <c r="B20" s="282" t="s">
        <v>204</v>
      </c>
      <c r="C20" s="280"/>
      <c r="D20" s="280"/>
      <c r="E20" s="280"/>
      <c r="F20" s="65"/>
      <c r="G20" s="65"/>
      <c r="H20" s="66"/>
    </row>
    <row r="21" spans="2:13" ht="14.25" x14ac:dyDescent="0.2">
      <c r="B21" s="62"/>
      <c r="C21" s="67"/>
      <c r="D21" s="67"/>
      <c r="E21" s="67"/>
      <c r="F21" s="65"/>
      <c r="G21" s="65"/>
      <c r="H21" s="66"/>
    </row>
    <row r="22" spans="2:13" ht="14.25" x14ac:dyDescent="0.2">
      <c r="B22" s="62"/>
      <c r="C22" s="67"/>
      <c r="D22" s="67"/>
      <c r="E22" s="67"/>
      <c r="F22" s="65"/>
      <c r="G22" s="65"/>
      <c r="H22" s="66"/>
    </row>
    <row r="23" spans="2:13" ht="22.5" customHeight="1" x14ac:dyDescent="0.2">
      <c r="B23" s="282"/>
      <c r="C23" s="280"/>
      <c r="D23" s="280"/>
      <c r="E23" s="280"/>
      <c r="F23" s="67"/>
      <c r="G23" s="67"/>
      <c r="H23" s="67"/>
    </row>
    <row r="24" spans="2:13" ht="27.75" customHeight="1" x14ac:dyDescent="0.2">
      <c r="B24" s="280"/>
      <c r="C24" s="280"/>
      <c r="D24" s="280"/>
      <c r="E24" s="280"/>
      <c r="F24" s="280"/>
      <c r="G24" s="280"/>
      <c r="H24" s="280"/>
    </row>
    <row r="25" spans="2:13" ht="27.75" customHeight="1" x14ac:dyDescent="0.2">
      <c r="B25" s="67"/>
      <c r="C25" s="67"/>
      <c r="D25" s="67"/>
      <c r="E25" s="67"/>
      <c r="F25" s="67"/>
      <c r="G25" s="67"/>
      <c r="H25" s="67"/>
    </row>
    <row r="26" spans="2:13" ht="15.75" customHeight="1" x14ac:dyDescent="0.2">
      <c r="B26" s="67"/>
      <c r="C26" s="67"/>
      <c r="D26" s="67"/>
      <c r="E26" s="67"/>
      <c r="F26" s="67"/>
      <c r="G26" s="67"/>
      <c r="H26" s="67"/>
    </row>
    <row r="27" spans="2:13" ht="15" x14ac:dyDescent="0.25">
      <c r="B27" s="68" t="s">
        <v>88</v>
      </c>
      <c r="C27" s="272" t="s">
        <v>92</v>
      </c>
      <c r="D27" s="272"/>
      <c r="E27" s="69" t="s">
        <v>139</v>
      </c>
      <c r="F27" s="69" t="s">
        <v>94</v>
      </c>
      <c r="G27" s="70" t="s">
        <v>18</v>
      </c>
      <c r="H27" s="69" t="s">
        <v>121</v>
      </c>
    </row>
    <row r="28" spans="2:13" ht="25.5" customHeight="1" x14ac:dyDescent="0.2">
      <c r="B28" s="71">
        <v>44939</v>
      </c>
      <c r="C28" s="290" t="s">
        <v>122</v>
      </c>
      <c r="D28" s="280"/>
      <c r="E28" s="73">
        <v>39</v>
      </c>
      <c r="F28" s="137">
        <v>2</v>
      </c>
      <c r="G28" s="75">
        <v>0.1</v>
      </c>
      <c r="H28" s="73">
        <f>E28*F28</f>
        <v>78</v>
      </c>
    </row>
    <row r="29" spans="2:13" ht="30" customHeight="1" x14ac:dyDescent="0.2">
      <c r="B29" s="76"/>
      <c r="C29" s="286"/>
      <c r="D29" s="287"/>
      <c r="E29" s="77"/>
      <c r="F29" s="78"/>
      <c r="G29" s="78"/>
      <c r="H29" s="77"/>
      <c r="M29" s="123"/>
    </row>
    <row r="30" spans="2:13" ht="30" customHeight="1" x14ac:dyDescent="0.2">
      <c r="B30" s="72"/>
      <c r="C30" s="290"/>
      <c r="D30" s="280"/>
      <c r="E30" s="63"/>
      <c r="F30" s="79" t="s">
        <v>97</v>
      </c>
      <c r="G30" s="79"/>
      <c r="H30" s="80">
        <f>SUM(H28:H29)</f>
        <v>78</v>
      </c>
    </row>
    <row r="31" spans="2:13" ht="30" customHeight="1" x14ac:dyDescent="0.2">
      <c r="B31" s="72"/>
      <c r="C31" s="72"/>
      <c r="D31" s="67"/>
      <c r="E31" s="63"/>
      <c r="F31" s="79" t="s">
        <v>98</v>
      </c>
      <c r="G31" s="79"/>
      <c r="H31" s="80">
        <f>H30*0.1</f>
        <v>7.8000000000000007</v>
      </c>
    </row>
    <row r="32" spans="2:13" ht="30" customHeight="1" x14ac:dyDescent="0.2">
      <c r="B32" s="72"/>
      <c r="C32" s="290"/>
      <c r="D32" s="280"/>
      <c r="E32" s="63"/>
      <c r="F32" s="81" t="s">
        <v>99</v>
      </c>
      <c r="G32" s="81"/>
      <c r="H32" s="82">
        <v>0</v>
      </c>
    </row>
    <row r="33" spans="1:9" ht="30" customHeight="1" x14ac:dyDescent="0.25">
      <c r="B33" s="83"/>
      <c r="C33" s="291"/>
      <c r="D33" s="278"/>
      <c r="E33" s="84"/>
      <c r="F33" s="85" t="s">
        <v>100</v>
      </c>
      <c r="G33" s="85"/>
      <c r="H33" s="86">
        <f>SUM(H30:H32)</f>
        <v>85.8</v>
      </c>
    </row>
    <row r="34" spans="1:9" ht="30" customHeight="1" x14ac:dyDescent="0.25">
      <c r="B34" s="83"/>
      <c r="C34" s="83"/>
      <c r="E34" s="84"/>
      <c r="F34" s="85"/>
      <c r="G34" s="85"/>
      <c r="H34" s="87"/>
    </row>
    <row r="35" spans="1:9" ht="30" customHeight="1" x14ac:dyDescent="0.25">
      <c r="B35" s="83"/>
      <c r="C35" s="83"/>
      <c r="E35" s="84"/>
      <c r="F35" s="85"/>
      <c r="G35" s="85"/>
      <c r="H35" s="86"/>
    </row>
    <row r="36" spans="1:9" ht="30" customHeight="1" x14ac:dyDescent="0.25">
      <c r="B36" s="83"/>
      <c r="C36" s="83"/>
      <c r="E36" s="84"/>
      <c r="F36" s="85"/>
      <c r="G36" s="85"/>
      <c r="H36" s="86"/>
    </row>
    <row r="37" spans="1:9" ht="30" customHeight="1" x14ac:dyDescent="0.25">
      <c r="B37" s="83"/>
      <c r="C37" s="83"/>
      <c r="E37" s="84"/>
      <c r="F37" s="85"/>
      <c r="G37" s="85"/>
      <c r="H37" s="86"/>
    </row>
    <row r="38" spans="1:9" ht="30" customHeight="1" x14ac:dyDescent="0.25">
      <c r="B38" s="83"/>
      <c r="C38" s="83"/>
      <c r="E38" s="84"/>
      <c r="F38" s="85"/>
      <c r="G38" s="85"/>
      <c r="H38" s="86"/>
    </row>
    <row r="39" spans="1:9" ht="30" customHeight="1" x14ac:dyDescent="0.25">
      <c r="B39" s="83"/>
      <c r="C39" s="83"/>
      <c r="E39" s="84"/>
      <c r="F39" s="85"/>
      <c r="G39" s="85"/>
      <c r="H39" s="86"/>
    </row>
    <row r="40" spans="1:9" ht="30" customHeight="1" x14ac:dyDescent="0.25">
      <c r="B40" s="83"/>
      <c r="C40" s="83"/>
      <c r="E40" s="84"/>
      <c r="F40" s="85"/>
      <c r="G40" s="85"/>
      <c r="H40" s="86"/>
    </row>
    <row r="41" spans="1:9" ht="30" customHeight="1" x14ac:dyDescent="0.2">
      <c r="B41" s="83"/>
      <c r="C41" s="88"/>
      <c r="D41" s="292" t="s">
        <v>101</v>
      </c>
      <c r="E41" s="292"/>
      <c r="F41" s="292"/>
      <c r="G41" s="89"/>
      <c r="H41" s="90"/>
    </row>
    <row r="42" spans="1:9" ht="12.75" customHeight="1" x14ac:dyDescent="0.2"/>
    <row r="43" spans="1:9" ht="12.75" x14ac:dyDescent="0.2">
      <c r="A43" s="53"/>
      <c r="B43" s="124" t="s">
        <v>141</v>
      </c>
      <c r="C43" s="92"/>
      <c r="D43" s="92"/>
      <c r="E43" s="300" t="s">
        <v>103</v>
      </c>
      <c r="F43" s="300"/>
      <c r="G43" s="300"/>
      <c r="H43" s="300"/>
      <c r="I43" s="300"/>
    </row>
    <row r="44" spans="1:9" ht="14.25" customHeight="1" x14ac:dyDescent="0.2">
      <c r="A44" s="53"/>
      <c r="B44" s="94" t="s">
        <v>104</v>
      </c>
      <c r="C44" s="53"/>
      <c r="D44" s="53"/>
      <c r="E44" s="283">
        <f>H33</f>
        <v>85.8</v>
      </c>
      <c r="F44" s="283"/>
      <c r="G44" s="283"/>
      <c r="H44" s="283"/>
      <c r="I44" s="283"/>
    </row>
    <row r="45" spans="1:9" ht="14.25" x14ac:dyDescent="0.2">
      <c r="A45" s="53"/>
      <c r="B45" s="94" t="s">
        <v>106</v>
      </c>
      <c r="C45" s="53"/>
      <c r="D45" s="53"/>
      <c r="E45" s="283"/>
      <c r="F45" s="283"/>
      <c r="G45" s="283"/>
      <c r="H45" s="283"/>
      <c r="I45" s="283"/>
    </row>
    <row r="46" spans="1:9" ht="14.25" x14ac:dyDescent="0.2">
      <c r="A46" s="53"/>
      <c r="B46" s="94" t="s">
        <v>107</v>
      </c>
      <c r="C46" s="53"/>
      <c r="D46" s="53"/>
      <c r="E46" s="95"/>
      <c r="F46" s="95"/>
      <c r="G46" s="95"/>
      <c r="H46" s="95"/>
      <c r="I46" s="95"/>
    </row>
    <row r="47" spans="1:9" ht="13.5" x14ac:dyDescent="0.2">
      <c r="A47" s="53"/>
      <c r="B47" s="125" t="s">
        <v>142</v>
      </c>
      <c r="C47" s="96"/>
      <c r="D47" s="96"/>
      <c r="E47" s="97"/>
      <c r="F47" s="97"/>
      <c r="G47" s="97"/>
      <c r="H47" s="97"/>
      <c r="I47" s="95"/>
    </row>
    <row r="48" spans="1:9" ht="53.25" customHeight="1" x14ac:dyDescent="0.2">
      <c r="B48" s="284"/>
      <c r="C48" s="278"/>
      <c r="D48" s="278"/>
      <c r="E48" s="278"/>
      <c r="F48" s="278"/>
      <c r="G48" s="278"/>
      <c r="H48" s="278"/>
    </row>
    <row r="52" spans="6:7" ht="15.75" customHeight="1" x14ac:dyDescent="0.2">
      <c r="F52" s="62"/>
      <c r="G52" s="62"/>
    </row>
    <row r="53" spans="6:7" ht="15.75" customHeight="1" x14ac:dyDescent="0.2">
      <c r="F53" s="62"/>
      <c r="G53" s="62"/>
    </row>
    <row r="54" spans="6:7" ht="15.75" customHeight="1" x14ac:dyDescent="0.2">
      <c r="F54" s="62"/>
      <c r="G54" s="62"/>
    </row>
    <row r="57" spans="6:7" ht="15.75" customHeight="1" x14ac:dyDescent="0.2">
      <c r="F57" s="62"/>
      <c r="G57" s="62"/>
    </row>
    <row r="59" spans="6:7" ht="15.75" customHeight="1" x14ac:dyDescent="0.2">
      <c r="F59" s="62"/>
      <c r="G59" s="62"/>
    </row>
  </sheetData>
  <mergeCells count="21">
    <mergeCell ref="E43:I43"/>
    <mergeCell ref="E44:I45"/>
    <mergeCell ref="B48:H48"/>
    <mergeCell ref="C28:D28"/>
    <mergeCell ref="C29:D29"/>
    <mergeCell ref="C30:D30"/>
    <mergeCell ref="C32:D32"/>
    <mergeCell ref="C33:D33"/>
    <mergeCell ref="D41:F41"/>
    <mergeCell ref="C27:D27"/>
    <mergeCell ref="E3:H3"/>
    <mergeCell ref="B4:D6"/>
    <mergeCell ref="E4:H4"/>
    <mergeCell ref="E5:H5"/>
    <mergeCell ref="E6:H6"/>
    <mergeCell ref="B9:H9"/>
    <mergeCell ref="B18:E18"/>
    <mergeCell ref="B19:E19"/>
    <mergeCell ref="B20:E20"/>
    <mergeCell ref="B23:E23"/>
    <mergeCell ref="B24:H24"/>
  </mergeCells>
  <conditionalFormatting sqref="B26">
    <cfRule type="notContainsBlanks" dxfId="25" priority="1">
      <formula>LEN(TRIM(B26))&gt;0</formula>
    </cfRule>
  </conditionalFormatting>
  <hyperlinks>
    <hyperlink ref="B12" r:id="rId1" xr:uid="{9A99267C-C552-4A02-ABE9-8845A62F4D87}"/>
  </hyperlinks>
  <pageMargins left="0.28999999999999998" right="0.19" top="0.6" bottom="0.5" header="0.31496062000000002" footer="0.31496062000000002"/>
  <pageSetup paperSize="9" scale="78" orientation="portrait" r:id="rId2"/>
  <drawing r:id="rId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C6172-88AE-4511-98D4-6829A8BC8933}">
  <sheetPr codeName="Sheet35">
    <tabColor theme="7" tint="0.59999389629810485"/>
    <outlinePr summaryBelow="0" summaryRight="0"/>
    <pageSetUpPr fitToPage="1"/>
  </sheetPr>
  <dimension ref="A1:K59"/>
  <sheetViews>
    <sheetView showGridLines="0" topLeftCell="A7" zoomScale="130" zoomScaleNormal="130" workbookViewId="0">
      <selection activeCell="H11" sqref="H11"/>
    </sheetView>
  </sheetViews>
  <sheetFormatPr defaultColWidth="14.42578125" defaultRowHeight="15.75" customHeight="1" x14ac:dyDescent="0.2"/>
  <cols>
    <col min="1" max="1" width="2.85546875" style="55" customWidth="1"/>
    <col min="2" max="3" width="14.42578125" style="55"/>
    <col min="4" max="4" width="18.140625" style="55" customWidth="1"/>
    <col min="5" max="5" width="18.140625" style="55" bestFit="1" customWidth="1"/>
    <col min="6" max="6" width="15.140625" style="55" customWidth="1"/>
    <col min="7" max="7" width="9.7109375" style="55" customWidth="1"/>
    <col min="8" max="8" width="13.7109375" style="55" bestFit="1" customWidth="1"/>
    <col min="9" max="9" width="3.28515625" style="55" customWidth="1"/>
    <col min="10" max="16384" width="14.42578125" style="55"/>
  </cols>
  <sheetData>
    <row r="1" spans="1:11" ht="39" customHeight="1" x14ac:dyDescent="0.2">
      <c r="A1" s="54"/>
      <c r="B1" s="54"/>
      <c r="C1" s="54"/>
      <c r="D1" s="54"/>
      <c r="E1" s="54"/>
      <c r="F1" s="54"/>
      <c r="G1" s="54"/>
      <c r="H1" s="54"/>
      <c r="I1" s="54"/>
    </row>
    <row r="2" spans="1:11" x14ac:dyDescent="0.25">
      <c r="A2" s="54"/>
      <c r="B2" s="56"/>
      <c r="C2" s="56"/>
      <c r="D2" s="56"/>
      <c r="E2" s="57"/>
      <c r="F2" s="57"/>
      <c r="G2" s="57"/>
      <c r="H2" s="57"/>
      <c r="I2" s="56"/>
    </row>
    <row r="3" spans="1:11" ht="12.75" x14ac:dyDescent="0.2">
      <c r="A3" s="54"/>
      <c r="B3" s="56"/>
      <c r="C3" s="56"/>
      <c r="D3" s="56"/>
      <c r="E3" s="273"/>
      <c r="F3" s="274"/>
      <c r="G3" s="274"/>
      <c r="H3" s="274"/>
      <c r="I3" s="56"/>
    </row>
    <row r="4" spans="1:11" ht="12.75" x14ac:dyDescent="0.2">
      <c r="A4" s="54"/>
      <c r="B4" s="275" t="s">
        <v>83</v>
      </c>
      <c r="C4" s="276"/>
      <c r="D4" s="276"/>
      <c r="E4" s="277"/>
      <c r="F4" s="274"/>
      <c r="G4" s="274"/>
      <c r="H4" s="274"/>
      <c r="I4" s="56"/>
    </row>
    <row r="5" spans="1:11" ht="12.75" x14ac:dyDescent="0.2">
      <c r="A5" s="54"/>
      <c r="B5" s="276"/>
      <c r="C5" s="276"/>
      <c r="D5" s="276"/>
      <c r="E5" s="277"/>
      <c r="F5" s="274"/>
      <c r="G5" s="274"/>
      <c r="H5" s="274"/>
      <c r="I5" s="56"/>
    </row>
    <row r="6" spans="1:11" ht="12.75" x14ac:dyDescent="0.2">
      <c r="A6" s="54"/>
      <c r="B6" s="276"/>
      <c r="C6" s="276"/>
      <c r="D6" s="276"/>
      <c r="E6" s="277"/>
      <c r="F6" s="274"/>
      <c r="G6" s="274"/>
      <c r="H6" s="274"/>
      <c r="I6" s="56"/>
    </row>
    <row r="7" spans="1:11" ht="36.75" customHeight="1" x14ac:dyDescent="0.2">
      <c r="A7" s="54"/>
      <c r="B7" s="54"/>
      <c r="C7" s="54"/>
      <c r="D7" s="54"/>
      <c r="E7" s="54"/>
      <c r="F7" s="54"/>
      <c r="G7" s="54"/>
      <c r="H7" s="54"/>
      <c r="I7" s="54"/>
    </row>
    <row r="8" spans="1:11" ht="21.75" customHeight="1" x14ac:dyDescent="0.2">
      <c r="A8" s="58"/>
      <c r="B8" s="58"/>
      <c r="C8" s="58"/>
      <c r="D8" s="58"/>
      <c r="E8" s="58"/>
      <c r="F8" s="58"/>
      <c r="G8" s="58"/>
      <c r="H8" s="58"/>
      <c r="I8" s="58"/>
      <c r="J8" s="59"/>
    </row>
    <row r="9" spans="1:11" ht="15.75" customHeight="1" x14ac:dyDescent="0.2">
      <c r="B9" s="278"/>
      <c r="C9" s="278"/>
      <c r="D9" s="278"/>
      <c r="E9" s="278"/>
      <c r="F9" s="278"/>
      <c r="G9" s="278"/>
      <c r="H9" s="278"/>
    </row>
    <row r="10" spans="1:11" ht="15" customHeight="1" x14ac:dyDescent="0.2">
      <c r="A10" s="98"/>
      <c r="B10" s="60" t="s">
        <v>84</v>
      </c>
      <c r="G10" s="60"/>
      <c r="H10" s="61" t="s">
        <v>85</v>
      </c>
    </row>
    <row r="11" spans="1:11" ht="14.25" x14ac:dyDescent="0.2">
      <c r="A11" s="98"/>
      <c r="B11" s="62" t="s">
        <v>86</v>
      </c>
      <c r="G11" s="62"/>
      <c r="H11" s="63" t="str">
        <f>"HG"&amp;J11</f>
        <v>HG51</v>
      </c>
      <c r="J11" s="55">
        <v>51</v>
      </c>
    </row>
    <row r="12" spans="1:11" ht="15" x14ac:dyDescent="0.2">
      <c r="A12" s="98"/>
      <c r="B12" s="62" t="s">
        <v>87</v>
      </c>
      <c r="G12" s="60"/>
      <c r="H12" s="61" t="s">
        <v>88</v>
      </c>
      <c r="J12" s="55">
        <v>7</v>
      </c>
    </row>
    <row r="13" spans="1:11" ht="14.25" x14ac:dyDescent="0.2">
      <c r="A13" s="98"/>
      <c r="B13" s="62"/>
      <c r="G13" s="64"/>
      <c r="H13" s="65">
        <v>44946</v>
      </c>
    </row>
    <row r="14" spans="1:11" ht="15" x14ac:dyDescent="0.2">
      <c r="A14" s="98"/>
      <c r="G14" s="60"/>
      <c r="H14" s="61" t="s">
        <v>89</v>
      </c>
    </row>
    <row r="15" spans="1:11" ht="14.25" x14ac:dyDescent="0.2">
      <c r="A15" s="98"/>
      <c r="G15" s="64"/>
      <c r="H15" s="65">
        <f>H13+J12</f>
        <v>44953</v>
      </c>
      <c r="K15" s="150"/>
    </row>
    <row r="16" spans="1:11" ht="14.25" x14ac:dyDescent="0.2">
      <c r="A16" s="98"/>
      <c r="B16" s="62"/>
      <c r="G16" s="65"/>
      <c r="H16" s="65"/>
    </row>
    <row r="17" spans="1:8" ht="14.25" x14ac:dyDescent="0.2">
      <c r="A17" s="98"/>
      <c r="F17" s="65"/>
      <c r="G17" s="65"/>
      <c r="H17" s="66"/>
    </row>
    <row r="18" spans="1:8" ht="22.5" customHeight="1" x14ac:dyDescent="0.2">
      <c r="A18" s="98"/>
      <c r="B18" s="279" t="s">
        <v>90</v>
      </c>
      <c r="C18" s="280"/>
      <c r="D18" s="280"/>
      <c r="E18" s="280"/>
      <c r="F18" s="65"/>
      <c r="G18" s="65"/>
      <c r="H18" s="66"/>
    </row>
    <row r="19" spans="1:8" ht="15" x14ac:dyDescent="0.2">
      <c r="A19" s="98"/>
      <c r="B19" s="295" t="s">
        <v>205</v>
      </c>
      <c r="C19" s="296"/>
      <c r="D19" s="296"/>
      <c r="E19" s="296"/>
      <c r="F19" s="65"/>
      <c r="G19" s="65"/>
      <c r="H19" s="66"/>
    </row>
    <row r="20" spans="1:8" ht="14.25" x14ac:dyDescent="0.2">
      <c r="A20" s="98"/>
      <c r="B20" s="297" t="s">
        <v>206</v>
      </c>
      <c r="C20" s="296"/>
      <c r="D20" s="296"/>
      <c r="E20" s="296"/>
      <c r="F20" s="65"/>
      <c r="G20" s="65"/>
      <c r="H20" s="66"/>
    </row>
    <row r="21" spans="1:8" ht="14.25" x14ac:dyDescent="0.2">
      <c r="A21" s="98"/>
      <c r="B21" s="62"/>
      <c r="C21" s="67"/>
      <c r="D21" s="67"/>
      <c r="E21" s="67"/>
      <c r="F21" s="65"/>
      <c r="G21" s="65"/>
      <c r="H21" s="66"/>
    </row>
    <row r="22" spans="1:8" ht="14.25" x14ac:dyDescent="0.2">
      <c r="A22" s="98"/>
      <c r="B22" s="62"/>
      <c r="C22" s="67"/>
      <c r="D22" s="67"/>
      <c r="E22" s="67"/>
      <c r="F22" s="65"/>
      <c r="G22" s="65"/>
      <c r="H22" s="66"/>
    </row>
    <row r="23" spans="1:8" ht="22.5" customHeight="1" x14ac:dyDescent="0.2">
      <c r="A23" s="98"/>
      <c r="B23" s="282"/>
      <c r="C23" s="280"/>
      <c r="D23" s="280"/>
      <c r="E23" s="280"/>
      <c r="F23" s="67"/>
      <c r="G23" s="67"/>
      <c r="H23" s="67"/>
    </row>
    <row r="24" spans="1:8" ht="27.75" customHeight="1" x14ac:dyDescent="0.2">
      <c r="B24" s="280"/>
      <c r="C24" s="280"/>
      <c r="D24" s="280"/>
      <c r="E24" s="280"/>
      <c r="F24" s="280"/>
      <c r="G24" s="280"/>
      <c r="H24" s="280"/>
    </row>
    <row r="25" spans="1:8" ht="27.75" customHeight="1" x14ac:dyDescent="0.2">
      <c r="B25" s="67"/>
      <c r="C25" s="67"/>
      <c r="D25" s="67"/>
      <c r="E25" s="67"/>
      <c r="F25" s="67"/>
      <c r="G25" s="67"/>
      <c r="H25" s="67"/>
    </row>
    <row r="26" spans="1:8" ht="15.75" customHeight="1" x14ac:dyDescent="0.2">
      <c r="B26" s="67"/>
      <c r="C26" s="67"/>
      <c r="D26" s="67"/>
      <c r="E26" s="67"/>
      <c r="F26" s="67"/>
      <c r="G26" s="67"/>
      <c r="H26" s="67"/>
    </row>
    <row r="27" spans="1:8" ht="15" x14ac:dyDescent="0.25">
      <c r="B27" s="68" t="s">
        <v>88</v>
      </c>
      <c r="C27" s="272" t="s">
        <v>92</v>
      </c>
      <c r="D27" s="272"/>
      <c r="E27" s="70" t="s">
        <v>110</v>
      </c>
      <c r="F27" s="70" t="s">
        <v>111</v>
      </c>
      <c r="G27" s="70" t="s">
        <v>18</v>
      </c>
      <c r="H27" s="70" t="s">
        <v>95</v>
      </c>
    </row>
    <row r="28" spans="1:8" ht="31.5" customHeight="1" x14ac:dyDescent="0.2">
      <c r="B28" s="71">
        <v>44945</v>
      </c>
      <c r="C28" s="293" t="s">
        <v>130</v>
      </c>
      <c r="D28" s="294"/>
      <c r="E28" s="99">
        <v>39</v>
      </c>
      <c r="F28" s="100">
        <v>2.5</v>
      </c>
      <c r="G28" s="101">
        <v>0.1</v>
      </c>
      <c r="H28" s="99">
        <f>E28*F28</f>
        <v>97.5</v>
      </c>
    </row>
    <row r="29" spans="1:8" ht="14.25" x14ac:dyDescent="0.2">
      <c r="B29" s="71"/>
      <c r="C29" s="293"/>
      <c r="D29" s="293"/>
      <c r="E29" s="99"/>
      <c r="F29" s="100"/>
      <c r="G29" s="101"/>
      <c r="H29" s="99"/>
    </row>
    <row r="30" spans="1:8" ht="14.25" x14ac:dyDescent="0.2">
      <c r="B30" s="102"/>
      <c r="C30" s="286"/>
      <c r="D30" s="287"/>
      <c r="E30" s="77"/>
      <c r="F30" s="103"/>
      <c r="G30" s="103"/>
      <c r="H30" s="77"/>
    </row>
    <row r="31" spans="1:8" ht="30" customHeight="1" x14ac:dyDescent="0.2">
      <c r="B31" s="72"/>
      <c r="C31" s="290"/>
      <c r="D31" s="280"/>
      <c r="E31" s="63"/>
      <c r="F31" s="79"/>
      <c r="G31" s="79" t="s">
        <v>97</v>
      </c>
      <c r="H31" s="80">
        <f>SUM(H28:H30)</f>
        <v>97.5</v>
      </c>
    </row>
    <row r="32" spans="1:8" ht="30" customHeight="1" x14ac:dyDescent="0.2">
      <c r="B32" s="72"/>
      <c r="C32" s="72"/>
      <c r="D32" s="67"/>
      <c r="E32" s="63"/>
      <c r="F32" s="79"/>
      <c r="G32" s="79" t="s">
        <v>113</v>
      </c>
      <c r="H32" s="80">
        <f>G28*H31</f>
        <v>9.75</v>
      </c>
    </row>
    <row r="33" spans="1:9" ht="30" customHeight="1" x14ac:dyDescent="0.2">
      <c r="B33" s="72"/>
      <c r="C33" s="290"/>
      <c r="D33" s="280"/>
      <c r="E33" s="63"/>
      <c r="F33" s="81"/>
      <c r="G33" s="81" t="s">
        <v>99</v>
      </c>
      <c r="H33" s="82">
        <v>0</v>
      </c>
    </row>
    <row r="34" spans="1:9" ht="30" customHeight="1" x14ac:dyDescent="0.25">
      <c r="B34" s="83"/>
      <c r="C34" s="291"/>
      <c r="D34" s="278"/>
      <c r="E34" s="84"/>
      <c r="F34" s="85"/>
      <c r="G34" s="85" t="s">
        <v>100</v>
      </c>
      <c r="H34" s="86">
        <f>SUM(H31:H33)</f>
        <v>107.25</v>
      </c>
    </row>
    <row r="35" spans="1:9" ht="30" customHeight="1" x14ac:dyDescent="0.25">
      <c r="B35" s="83"/>
      <c r="C35" s="83"/>
      <c r="E35" s="84"/>
      <c r="F35" s="85"/>
      <c r="G35" s="85"/>
      <c r="H35" s="87"/>
    </row>
    <row r="36" spans="1:9" ht="30" customHeight="1" x14ac:dyDescent="0.25">
      <c r="B36" s="83"/>
      <c r="C36" s="83"/>
      <c r="E36" s="84"/>
      <c r="F36" s="85"/>
      <c r="G36" s="85"/>
      <c r="H36" s="86"/>
    </row>
    <row r="37" spans="1:9" ht="30" customHeight="1" x14ac:dyDescent="0.25">
      <c r="B37" s="83"/>
      <c r="C37" s="83"/>
      <c r="E37" s="84"/>
      <c r="F37" s="85"/>
      <c r="G37" s="85"/>
      <c r="H37" s="86"/>
    </row>
    <row r="38" spans="1:9" ht="30" customHeight="1" x14ac:dyDescent="0.25">
      <c r="B38" s="83"/>
      <c r="C38" s="83"/>
      <c r="E38" s="84"/>
      <c r="F38" s="85"/>
      <c r="G38" s="85"/>
      <c r="H38" s="86"/>
    </row>
    <row r="39" spans="1:9" ht="30" customHeight="1" x14ac:dyDescent="0.25">
      <c r="B39" s="83"/>
      <c r="C39" s="83"/>
      <c r="E39" s="84"/>
      <c r="F39" s="85"/>
      <c r="G39" s="85"/>
      <c r="H39" s="86"/>
    </row>
    <row r="40" spans="1:9" ht="30" customHeight="1" x14ac:dyDescent="0.25">
      <c r="B40" s="83"/>
      <c r="C40" s="83"/>
      <c r="E40" s="84"/>
      <c r="F40" s="85"/>
      <c r="G40" s="85"/>
      <c r="H40" s="86"/>
    </row>
    <row r="41" spans="1:9" ht="30" customHeight="1" x14ac:dyDescent="0.2">
      <c r="B41" s="83"/>
      <c r="C41" s="88"/>
      <c r="D41" s="292" t="s">
        <v>101</v>
      </c>
      <c r="E41" s="292"/>
      <c r="F41" s="292"/>
      <c r="G41" s="89"/>
      <c r="H41" s="90"/>
    </row>
    <row r="42" spans="1:9" ht="12.75" customHeight="1" x14ac:dyDescent="0.2"/>
    <row r="43" spans="1:9" ht="12.75" x14ac:dyDescent="0.2">
      <c r="A43" s="92"/>
      <c r="B43" s="91" t="s">
        <v>102</v>
      </c>
      <c r="C43" s="92"/>
      <c r="D43" s="92"/>
      <c r="E43" s="104"/>
      <c r="F43" s="95"/>
      <c r="G43" s="95"/>
      <c r="H43" s="105" t="s">
        <v>103</v>
      </c>
      <c r="I43" s="106"/>
    </row>
    <row r="44" spans="1:9" ht="14.25" customHeight="1" x14ac:dyDescent="0.2">
      <c r="A44" s="92"/>
      <c r="B44" s="94" t="s">
        <v>104</v>
      </c>
      <c r="C44" s="53"/>
      <c r="D44" s="53"/>
      <c r="E44" s="104"/>
      <c r="F44" s="104"/>
      <c r="G44" s="283">
        <f>H34</f>
        <v>107.25</v>
      </c>
      <c r="H44" s="283"/>
      <c r="I44" s="298"/>
    </row>
    <row r="45" spans="1:9" ht="14.25" x14ac:dyDescent="0.2">
      <c r="A45" s="53"/>
      <c r="B45" s="94" t="s">
        <v>106</v>
      </c>
      <c r="C45" s="53"/>
      <c r="D45" s="53"/>
      <c r="E45" s="104"/>
      <c r="F45" s="104"/>
      <c r="G45" s="283"/>
      <c r="H45" s="283"/>
      <c r="I45" s="298"/>
    </row>
    <row r="46" spans="1:9" ht="14.25" x14ac:dyDescent="0.2">
      <c r="A46" s="53"/>
      <c r="B46" s="94" t="s">
        <v>107</v>
      </c>
      <c r="C46" s="53"/>
      <c r="D46" s="53"/>
      <c r="E46" s="95"/>
      <c r="F46" s="95"/>
      <c r="G46" s="95"/>
      <c r="H46" s="95"/>
      <c r="I46" s="95"/>
    </row>
    <row r="47" spans="1:9" ht="14.25" x14ac:dyDescent="0.2">
      <c r="A47" s="53"/>
      <c r="B47" s="94" t="s">
        <v>114</v>
      </c>
      <c r="C47" s="96"/>
      <c r="D47" s="96"/>
      <c r="E47" s="97"/>
      <c r="F47" s="97"/>
      <c r="G47" s="97"/>
      <c r="H47" s="97"/>
      <c r="I47" s="95"/>
    </row>
    <row r="48" spans="1:9" ht="53.25" customHeight="1" x14ac:dyDescent="0.2">
      <c r="B48" s="284"/>
      <c r="C48" s="278"/>
      <c r="D48" s="278"/>
      <c r="E48" s="278"/>
      <c r="F48" s="278"/>
      <c r="G48" s="278"/>
      <c r="H48" s="278"/>
    </row>
    <row r="52" spans="6:7" ht="15.75" customHeight="1" x14ac:dyDescent="0.2">
      <c r="F52" s="62"/>
      <c r="G52" s="62"/>
    </row>
    <row r="53" spans="6:7" ht="15.75" customHeight="1" x14ac:dyDescent="0.2">
      <c r="F53" s="62"/>
      <c r="G53" s="62"/>
    </row>
    <row r="54" spans="6:7" ht="15.75" customHeight="1" x14ac:dyDescent="0.2">
      <c r="F54" s="62"/>
      <c r="G54" s="62"/>
    </row>
    <row r="57" spans="6:7" ht="15.75" customHeight="1" x14ac:dyDescent="0.2">
      <c r="F57" s="62"/>
      <c r="G57" s="62"/>
    </row>
    <row r="59" spans="6:7" ht="15.75" customHeight="1" x14ac:dyDescent="0.2">
      <c r="F59" s="62"/>
      <c r="G59" s="62"/>
    </row>
  </sheetData>
  <mergeCells count="22">
    <mergeCell ref="D41:F41"/>
    <mergeCell ref="G44:H45"/>
    <mergeCell ref="I44:I45"/>
    <mergeCell ref="B48:H48"/>
    <mergeCell ref="C28:D28"/>
    <mergeCell ref="C29:D29"/>
    <mergeCell ref="C30:D30"/>
    <mergeCell ref="C31:D31"/>
    <mergeCell ref="C33:D33"/>
    <mergeCell ref="C34:D34"/>
    <mergeCell ref="C27:D27"/>
    <mergeCell ref="E3:H3"/>
    <mergeCell ref="B4:D6"/>
    <mergeCell ref="E4:H4"/>
    <mergeCell ref="E5:H5"/>
    <mergeCell ref="E6:H6"/>
    <mergeCell ref="B9:H9"/>
    <mergeCell ref="B18:E18"/>
    <mergeCell ref="B19:E19"/>
    <mergeCell ref="B20:E20"/>
    <mergeCell ref="B23:E23"/>
    <mergeCell ref="B24:H24"/>
  </mergeCells>
  <conditionalFormatting sqref="B26">
    <cfRule type="notContainsBlanks" dxfId="24" priority="1">
      <formula>LEN(TRIM(B26))&gt;0</formula>
    </cfRule>
  </conditionalFormatting>
  <hyperlinks>
    <hyperlink ref="B12" r:id="rId1" xr:uid="{F395BAD7-215E-4CD6-9BF8-B0F571A2131B}"/>
  </hyperlinks>
  <printOptions horizontalCentered="1" verticalCentered="1"/>
  <pageMargins left="0.13" right="7.0000000000000007E-2" top="0.19685039370078741" bottom="0.19685039370078741" header="0.31496062992125984" footer="0.31496062992125984"/>
  <pageSetup paperSize="9" scale="87" orientation="portrait" r:id="rId2"/>
  <drawing r:id="rId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16E3BB-5CEF-4267-953A-0FF9A05A20E7}">
  <sheetPr codeName="Sheet36">
    <tabColor theme="7" tint="0.59999389629810485"/>
    <outlinePr summaryBelow="0" summaryRight="0"/>
    <pageSetUpPr fitToPage="1"/>
  </sheetPr>
  <dimension ref="A1:J59"/>
  <sheetViews>
    <sheetView showGridLines="0" topLeftCell="A6" workbookViewId="0">
      <selection activeCell="H11" sqref="H11"/>
    </sheetView>
  </sheetViews>
  <sheetFormatPr defaultColWidth="14.42578125" defaultRowHeight="15.75" customHeight="1" x14ac:dyDescent="0.2"/>
  <cols>
    <col min="1" max="1" width="4" style="55" customWidth="1"/>
    <col min="2" max="3" width="14.42578125" style="55"/>
    <col min="4" max="4" width="30.85546875" style="55" customWidth="1"/>
    <col min="5" max="5" width="18.140625" style="55" bestFit="1" customWidth="1"/>
    <col min="6" max="7" width="16.42578125" style="55" customWidth="1"/>
    <col min="8" max="8" width="13.7109375" style="55" bestFit="1" customWidth="1"/>
    <col min="9" max="9" width="2.42578125" style="55" customWidth="1"/>
    <col min="10" max="16384" width="14.42578125" style="55"/>
  </cols>
  <sheetData>
    <row r="1" spans="1:10" ht="39" customHeight="1" x14ac:dyDescent="0.2">
      <c r="A1" s="54"/>
      <c r="B1" s="54"/>
      <c r="C1" s="54"/>
      <c r="D1" s="54"/>
      <c r="E1" s="54"/>
      <c r="F1" s="54"/>
      <c r="G1" s="54"/>
      <c r="H1" s="54"/>
      <c r="I1" s="54"/>
    </row>
    <row r="2" spans="1:10" x14ac:dyDescent="0.25">
      <c r="A2" s="54"/>
      <c r="B2" s="56"/>
      <c r="C2" s="56"/>
      <c r="D2" s="56"/>
      <c r="E2" s="57"/>
      <c r="F2" s="57"/>
      <c r="G2" s="57"/>
      <c r="H2" s="57"/>
      <c r="I2" s="56"/>
    </row>
    <row r="3" spans="1:10" ht="12.75" x14ac:dyDescent="0.2">
      <c r="A3" s="54"/>
      <c r="B3" s="56"/>
      <c r="C3" s="56"/>
      <c r="D3" s="56"/>
      <c r="E3" s="273"/>
      <c r="F3" s="274"/>
      <c r="G3" s="274"/>
      <c r="H3" s="274"/>
      <c r="I3" s="56"/>
    </row>
    <row r="4" spans="1:10" ht="12.75" x14ac:dyDescent="0.2">
      <c r="A4" s="54"/>
      <c r="B4" s="275" t="s">
        <v>83</v>
      </c>
      <c r="C4" s="276"/>
      <c r="D4" s="276"/>
      <c r="E4" s="277"/>
      <c r="F4" s="274"/>
      <c r="G4" s="274"/>
      <c r="H4" s="274"/>
      <c r="I4" s="56"/>
    </row>
    <row r="5" spans="1:10" ht="12.75" x14ac:dyDescent="0.2">
      <c r="A5" s="54"/>
      <c r="B5" s="276"/>
      <c r="C5" s="276"/>
      <c r="D5" s="276"/>
      <c r="E5" s="277"/>
      <c r="F5" s="274"/>
      <c r="G5" s="274"/>
      <c r="H5" s="274"/>
      <c r="I5" s="56"/>
    </row>
    <row r="6" spans="1:10" ht="12.75" x14ac:dyDescent="0.2">
      <c r="A6" s="54"/>
      <c r="B6" s="276"/>
      <c r="C6" s="276"/>
      <c r="D6" s="276"/>
      <c r="E6" s="277"/>
      <c r="F6" s="274"/>
      <c r="G6" s="274"/>
      <c r="H6" s="274"/>
      <c r="I6" s="56"/>
    </row>
    <row r="7" spans="1:10" ht="36.75" customHeight="1" x14ac:dyDescent="0.2">
      <c r="A7" s="54"/>
      <c r="B7" s="54"/>
      <c r="C7" s="54"/>
      <c r="D7" s="54"/>
      <c r="E7" s="54"/>
      <c r="F7" s="54"/>
      <c r="G7" s="54"/>
      <c r="H7" s="54"/>
      <c r="I7" s="54"/>
    </row>
    <row r="8" spans="1:10" ht="21.75" customHeight="1" x14ac:dyDescent="0.2">
      <c r="A8" s="58"/>
      <c r="B8" s="58"/>
      <c r="C8" s="58"/>
      <c r="D8" s="58"/>
      <c r="E8" s="58"/>
      <c r="F8" s="58"/>
      <c r="G8" s="58"/>
      <c r="H8" s="58"/>
      <c r="I8" s="58"/>
      <c r="J8" s="59"/>
    </row>
    <row r="9" spans="1:10" ht="15.75" customHeight="1" x14ac:dyDescent="0.2">
      <c r="B9" s="278"/>
      <c r="C9" s="278"/>
      <c r="D9" s="278"/>
      <c r="E9" s="278"/>
      <c r="F9" s="278"/>
      <c r="G9" s="278"/>
      <c r="H9" s="278"/>
    </row>
    <row r="10" spans="1:10" ht="15" customHeight="1" x14ac:dyDescent="0.2">
      <c r="A10" s="98"/>
      <c r="B10" s="60" t="s">
        <v>84</v>
      </c>
      <c r="G10" s="60"/>
      <c r="H10" s="61" t="s">
        <v>85</v>
      </c>
    </row>
    <row r="11" spans="1:10" ht="14.25" x14ac:dyDescent="0.2">
      <c r="A11" s="98"/>
      <c r="B11" s="62" t="s">
        <v>86</v>
      </c>
      <c r="G11" s="62"/>
      <c r="H11" s="63" t="str">
        <f>"JP"&amp;J11</f>
        <v>JP27</v>
      </c>
      <c r="J11" s="55">
        <v>27</v>
      </c>
    </row>
    <row r="12" spans="1:10" ht="15" x14ac:dyDescent="0.2">
      <c r="A12" s="98"/>
      <c r="B12" s="62" t="s">
        <v>87</v>
      </c>
      <c r="G12" s="60"/>
      <c r="H12" s="61" t="s">
        <v>88</v>
      </c>
      <c r="J12" s="55">
        <v>7</v>
      </c>
    </row>
    <row r="13" spans="1:10" ht="14.25" x14ac:dyDescent="0.2">
      <c r="A13" s="98"/>
      <c r="B13" s="62" t="s">
        <v>147</v>
      </c>
      <c r="G13" s="64"/>
      <c r="H13" s="65">
        <v>44911</v>
      </c>
    </row>
    <row r="14" spans="1:10" ht="15" x14ac:dyDescent="0.2">
      <c r="A14" s="98"/>
      <c r="G14" s="60"/>
      <c r="H14" s="61" t="s">
        <v>89</v>
      </c>
    </row>
    <row r="15" spans="1:10" ht="14.25" x14ac:dyDescent="0.2">
      <c r="A15" s="98"/>
      <c r="G15" s="64"/>
      <c r="H15" s="65">
        <f>H13+J12</f>
        <v>44918</v>
      </c>
    </row>
    <row r="16" spans="1:10" ht="14.25" x14ac:dyDescent="0.2">
      <c r="A16" s="98"/>
      <c r="B16" s="62"/>
      <c r="F16" s="65"/>
      <c r="G16" s="65"/>
      <c r="H16" s="65"/>
    </row>
    <row r="17" spans="1:8" ht="14.25" x14ac:dyDescent="0.2">
      <c r="A17" s="98"/>
      <c r="F17" s="65"/>
      <c r="G17" s="65"/>
      <c r="H17" s="66"/>
    </row>
    <row r="18" spans="1:8" ht="22.5" customHeight="1" x14ac:dyDescent="0.2">
      <c r="A18" s="98"/>
      <c r="B18" s="279" t="s">
        <v>90</v>
      </c>
      <c r="C18" s="280"/>
      <c r="D18" s="280"/>
      <c r="E18" s="280"/>
      <c r="F18" s="65"/>
      <c r="G18" s="65"/>
      <c r="H18" s="66"/>
    </row>
    <row r="19" spans="1:8" ht="15" x14ac:dyDescent="0.2">
      <c r="A19" s="98"/>
      <c r="B19" s="279" t="s">
        <v>207</v>
      </c>
      <c r="C19" s="280"/>
      <c r="D19" s="280"/>
      <c r="E19" s="280"/>
      <c r="F19" s="65"/>
      <c r="G19" s="65"/>
      <c r="H19" s="66"/>
    </row>
    <row r="20" spans="1:8" ht="14.25" x14ac:dyDescent="0.2">
      <c r="A20" s="98"/>
      <c r="B20" s="282" t="s">
        <v>208</v>
      </c>
      <c r="C20" s="280"/>
      <c r="D20" s="280"/>
      <c r="E20" s="280"/>
      <c r="F20" s="65"/>
      <c r="G20" s="65"/>
      <c r="H20" s="66"/>
    </row>
    <row r="21" spans="1:8" ht="14.25" x14ac:dyDescent="0.2">
      <c r="A21" s="98"/>
      <c r="B21" s="62"/>
      <c r="C21" s="67"/>
      <c r="D21" s="67"/>
      <c r="E21" s="67"/>
      <c r="F21" s="65"/>
      <c r="G21" s="65"/>
      <c r="H21" s="66"/>
    </row>
    <row r="22" spans="1:8" ht="14.25" x14ac:dyDescent="0.2">
      <c r="A22" s="98"/>
      <c r="B22" s="62"/>
      <c r="C22" s="67"/>
      <c r="D22" s="67"/>
      <c r="E22" s="67"/>
      <c r="F22" s="65"/>
      <c r="G22" s="65"/>
      <c r="H22" s="66"/>
    </row>
    <row r="23" spans="1:8" ht="22.5" customHeight="1" x14ac:dyDescent="0.2">
      <c r="A23" s="98"/>
      <c r="B23" s="282"/>
      <c r="C23" s="280"/>
      <c r="D23" s="280"/>
      <c r="E23" s="280"/>
      <c r="F23" s="67"/>
      <c r="G23" s="67"/>
      <c r="H23" s="67"/>
    </row>
    <row r="24" spans="1:8" ht="27.75" customHeight="1" x14ac:dyDescent="0.2">
      <c r="B24" s="280"/>
      <c r="C24" s="280"/>
      <c r="D24" s="280"/>
      <c r="E24" s="280"/>
      <c r="F24" s="280"/>
      <c r="G24" s="280"/>
      <c r="H24" s="280"/>
    </row>
    <row r="25" spans="1:8" ht="27.75" customHeight="1" x14ac:dyDescent="0.2">
      <c r="B25" s="67"/>
      <c r="C25" s="67"/>
      <c r="D25" s="67"/>
      <c r="E25" s="67"/>
      <c r="F25" s="67"/>
      <c r="G25" s="67"/>
      <c r="H25" s="67"/>
    </row>
    <row r="26" spans="1:8" ht="15.75" customHeight="1" x14ac:dyDescent="0.2">
      <c r="B26" s="67"/>
      <c r="C26" s="67"/>
      <c r="D26" s="67"/>
      <c r="E26" s="67"/>
      <c r="F26" s="67"/>
      <c r="G26" s="67"/>
      <c r="H26" s="67"/>
    </row>
    <row r="27" spans="1:8" ht="15" x14ac:dyDescent="0.25">
      <c r="B27" s="68" t="s">
        <v>88</v>
      </c>
      <c r="C27" s="272" t="s">
        <v>92</v>
      </c>
      <c r="D27" s="272"/>
      <c r="E27" s="70" t="s">
        <v>110</v>
      </c>
      <c r="F27" s="70" t="s">
        <v>94</v>
      </c>
      <c r="G27" s="70" t="s">
        <v>209</v>
      </c>
      <c r="H27" s="70" t="s">
        <v>116</v>
      </c>
    </row>
    <row r="28" spans="1:8" ht="25.5" customHeight="1" x14ac:dyDescent="0.2">
      <c r="B28" s="71">
        <v>44910</v>
      </c>
      <c r="C28" s="290" t="s">
        <v>178</v>
      </c>
      <c r="D28" s="280"/>
      <c r="E28" s="99">
        <v>38</v>
      </c>
      <c r="F28" s="151">
        <v>3</v>
      </c>
      <c r="G28" s="152">
        <v>0.1</v>
      </c>
      <c r="H28" s="99">
        <f>E28*F28</f>
        <v>114</v>
      </c>
    </row>
    <row r="29" spans="1:8" ht="30" customHeight="1" x14ac:dyDescent="0.2">
      <c r="B29" s="76"/>
      <c r="C29" s="286"/>
      <c r="D29" s="287"/>
      <c r="E29" s="109"/>
      <c r="F29" s="110"/>
      <c r="G29" s="110"/>
      <c r="H29" s="111"/>
    </row>
    <row r="30" spans="1:8" ht="30" customHeight="1" x14ac:dyDescent="0.2">
      <c r="B30" s="72"/>
      <c r="C30" s="290"/>
      <c r="D30" s="280"/>
      <c r="E30" s="63"/>
      <c r="F30" s="79" t="s">
        <v>97</v>
      </c>
      <c r="G30" s="79"/>
      <c r="H30" s="80">
        <f>SUM(H28:H29)</f>
        <v>114</v>
      </c>
    </row>
    <row r="31" spans="1:8" ht="30" customHeight="1" x14ac:dyDescent="0.2">
      <c r="B31" s="72"/>
      <c r="C31" s="72"/>
      <c r="D31" s="67"/>
      <c r="E31" s="63"/>
      <c r="F31" s="79" t="s">
        <v>98</v>
      </c>
      <c r="G31" s="79"/>
      <c r="H31" s="80">
        <f>0.1*H30</f>
        <v>11.4</v>
      </c>
    </row>
    <row r="32" spans="1:8" ht="30" customHeight="1" x14ac:dyDescent="0.2">
      <c r="B32" s="72"/>
      <c r="C32" s="290"/>
      <c r="D32" s="280"/>
      <c r="E32" s="63"/>
      <c r="F32" s="81" t="s">
        <v>99</v>
      </c>
      <c r="G32" s="81"/>
      <c r="H32" s="82">
        <v>0</v>
      </c>
    </row>
    <row r="33" spans="1:9" ht="30" customHeight="1" x14ac:dyDescent="0.25">
      <c r="B33" s="83"/>
      <c r="C33" s="291"/>
      <c r="D33" s="278"/>
      <c r="E33" s="84"/>
      <c r="F33" s="85" t="s">
        <v>100</v>
      </c>
      <c r="G33" s="85"/>
      <c r="H33" s="86">
        <f>SUM(H30:H32)</f>
        <v>125.4</v>
      </c>
    </row>
    <row r="34" spans="1:9" ht="30" customHeight="1" x14ac:dyDescent="0.25">
      <c r="B34" s="83"/>
      <c r="C34" s="83"/>
      <c r="E34" s="84"/>
      <c r="F34" s="85"/>
      <c r="G34" s="85"/>
      <c r="H34" s="87"/>
    </row>
    <row r="35" spans="1:9" ht="30" customHeight="1" x14ac:dyDescent="0.25">
      <c r="B35" s="83"/>
      <c r="C35" s="83"/>
      <c r="E35" s="84"/>
      <c r="F35" s="85"/>
      <c r="G35" s="85"/>
      <c r="H35" s="86"/>
    </row>
    <row r="36" spans="1:9" ht="30" customHeight="1" x14ac:dyDescent="0.25">
      <c r="B36" s="83"/>
      <c r="C36" s="83"/>
      <c r="E36" s="84"/>
      <c r="F36" s="85"/>
      <c r="G36" s="85"/>
      <c r="H36" s="86"/>
    </row>
    <row r="37" spans="1:9" ht="30" customHeight="1" x14ac:dyDescent="0.25">
      <c r="B37" s="83"/>
      <c r="C37" s="83"/>
      <c r="E37" s="84"/>
      <c r="F37" s="85"/>
      <c r="G37" s="85"/>
      <c r="H37" s="86"/>
    </row>
    <row r="38" spans="1:9" ht="30" customHeight="1" x14ac:dyDescent="0.25">
      <c r="B38" s="83"/>
      <c r="C38" s="83"/>
      <c r="E38" s="84"/>
      <c r="F38" s="85"/>
      <c r="G38" s="85"/>
      <c r="H38" s="86"/>
    </row>
    <row r="39" spans="1:9" ht="30" customHeight="1" x14ac:dyDescent="0.25">
      <c r="B39" s="83"/>
      <c r="C39" s="83"/>
      <c r="E39" s="84"/>
      <c r="F39" s="85"/>
      <c r="G39" s="85"/>
      <c r="H39" s="86"/>
    </row>
    <row r="40" spans="1:9" ht="30" customHeight="1" x14ac:dyDescent="0.25">
      <c r="B40" s="83"/>
      <c r="C40" s="83"/>
      <c r="E40" s="84"/>
      <c r="F40" s="85"/>
      <c r="G40" s="85"/>
      <c r="H40" s="86"/>
    </row>
    <row r="41" spans="1:9" ht="30" customHeight="1" x14ac:dyDescent="0.2">
      <c r="B41" s="83"/>
      <c r="C41" s="88"/>
      <c r="D41" s="292" t="s">
        <v>101</v>
      </c>
      <c r="E41" s="292"/>
      <c r="F41" s="292"/>
      <c r="G41" s="89"/>
      <c r="H41" s="90"/>
    </row>
    <row r="42" spans="1:9" ht="12.75" customHeight="1" x14ac:dyDescent="0.2"/>
    <row r="43" spans="1:9" ht="12.75" x14ac:dyDescent="0.2">
      <c r="A43" s="92"/>
      <c r="B43" s="91" t="s">
        <v>102</v>
      </c>
      <c r="C43" s="92"/>
      <c r="D43" s="92"/>
      <c r="E43" s="300" t="s">
        <v>103</v>
      </c>
      <c r="F43" s="300"/>
      <c r="G43" s="300"/>
      <c r="H43" s="300"/>
      <c r="I43" s="106"/>
    </row>
    <row r="44" spans="1:9" ht="14.25" customHeight="1" x14ac:dyDescent="0.2">
      <c r="A44" s="92"/>
      <c r="B44" s="94" t="s">
        <v>104</v>
      </c>
      <c r="C44" s="53"/>
      <c r="D44" s="53"/>
      <c r="E44" s="305">
        <f>H33</f>
        <v>125.4</v>
      </c>
      <c r="F44" s="305"/>
      <c r="G44" s="305"/>
      <c r="H44" s="305"/>
      <c r="I44" s="298"/>
    </row>
    <row r="45" spans="1:9" ht="14.25" x14ac:dyDescent="0.2">
      <c r="A45" s="53"/>
      <c r="B45" s="94" t="s">
        <v>106</v>
      </c>
      <c r="C45" s="53"/>
      <c r="D45" s="53"/>
      <c r="E45" s="305"/>
      <c r="F45" s="305"/>
      <c r="G45" s="305"/>
      <c r="H45" s="305"/>
      <c r="I45" s="298"/>
    </row>
    <row r="46" spans="1:9" ht="14.25" x14ac:dyDescent="0.2">
      <c r="A46" s="53"/>
      <c r="B46" s="94" t="s">
        <v>107</v>
      </c>
      <c r="C46" s="53"/>
      <c r="D46" s="53"/>
      <c r="E46" s="95"/>
      <c r="F46" s="95"/>
      <c r="G46" s="95"/>
      <c r="H46" s="95"/>
      <c r="I46" s="95"/>
    </row>
    <row r="47" spans="1:9" ht="14.25" x14ac:dyDescent="0.2">
      <c r="A47" s="53"/>
      <c r="B47" s="94" t="s">
        <v>114</v>
      </c>
      <c r="C47" s="96"/>
      <c r="D47" s="96"/>
      <c r="E47" s="97"/>
      <c r="F47" s="97"/>
      <c r="G47" s="97"/>
      <c r="H47" s="97"/>
      <c r="I47" s="95"/>
    </row>
    <row r="48" spans="1:9" ht="53.25" customHeight="1" x14ac:dyDescent="0.2">
      <c r="B48" s="284"/>
      <c r="C48" s="278"/>
      <c r="D48" s="278"/>
      <c r="E48" s="278"/>
      <c r="F48" s="278"/>
      <c r="G48" s="278"/>
      <c r="H48" s="278"/>
    </row>
    <row r="52" spans="6:7" ht="15.75" customHeight="1" x14ac:dyDescent="0.2">
      <c r="F52" s="62"/>
      <c r="G52" s="62"/>
    </row>
    <row r="53" spans="6:7" ht="15.75" customHeight="1" x14ac:dyDescent="0.2">
      <c r="F53" s="62"/>
      <c r="G53" s="62"/>
    </row>
    <row r="54" spans="6:7" ht="15.75" customHeight="1" x14ac:dyDescent="0.2">
      <c r="F54" s="62"/>
      <c r="G54" s="62"/>
    </row>
    <row r="57" spans="6:7" ht="15.75" customHeight="1" x14ac:dyDescent="0.2">
      <c r="F57" s="62"/>
      <c r="G57" s="62"/>
    </row>
    <row r="59" spans="6:7" ht="15.75" customHeight="1" x14ac:dyDescent="0.2">
      <c r="F59" s="62"/>
      <c r="G59" s="62"/>
    </row>
  </sheetData>
  <mergeCells count="22">
    <mergeCell ref="E43:H43"/>
    <mergeCell ref="E44:H45"/>
    <mergeCell ref="I44:I45"/>
    <mergeCell ref="B48:H48"/>
    <mergeCell ref="C28:D28"/>
    <mergeCell ref="C29:D29"/>
    <mergeCell ref="C30:D30"/>
    <mergeCell ref="C32:D32"/>
    <mergeCell ref="C33:D33"/>
    <mergeCell ref="D41:F41"/>
    <mergeCell ref="C27:D27"/>
    <mergeCell ref="E3:H3"/>
    <mergeCell ref="B4:D6"/>
    <mergeCell ref="E4:H4"/>
    <mergeCell ref="E5:H5"/>
    <mergeCell ref="E6:H6"/>
    <mergeCell ref="B9:H9"/>
    <mergeCell ref="B18:E18"/>
    <mergeCell ref="B19:E19"/>
    <mergeCell ref="B20:E20"/>
    <mergeCell ref="B23:E23"/>
    <mergeCell ref="B24:H24"/>
  </mergeCells>
  <conditionalFormatting sqref="B26">
    <cfRule type="notContainsBlanks" dxfId="23" priority="1">
      <formula>LEN(TRIM(B26))&gt;0</formula>
    </cfRule>
  </conditionalFormatting>
  <hyperlinks>
    <hyperlink ref="B12" r:id="rId1" xr:uid="{8F631874-A005-4E4C-8363-C3E581A52C86}"/>
  </hyperlinks>
  <pageMargins left="0.1" right="0" top="0.38" bottom="0.3" header="0.3" footer="0.3"/>
  <pageSetup paperSize="9" scale="79" orientation="portrait" r:id="rId2"/>
  <drawing r:id="rId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A36AA3-50A5-436B-8776-6EB7167D04B7}">
  <sheetPr codeName="Sheet37">
    <tabColor theme="7" tint="0.59999389629810485"/>
    <outlinePr summaryBelow="0" summaryRight="0"/>
    <pageSetUpPr fitToPage="1"/>
  </sheetPr>
  <dimension ref="A1:J59"/>
  <sheetViews>
    <sheetView showGridLines="0" topLeftCell="A6" workbookViewId="0">
      <selection activeCell="H11" sqref="H11"/>
    </sheetView>
  </sheetViews>
  <sheetFormatPr defaultColWidth="14.42578125" defaultRowHeight="15.75" customHeight="1" x14ac:dyDescent="0.2"/>
  <cols>
    <col min="1" max="1" width="3.42578125" style="55" customWidth="1"/>
    <col min="2" max="3" width="14.42578125" style="55"/>
    <col min="4" max="4" width="26.7109375" style="55" customWidth="1"/>
    <col min="5" max="5" width="18.140625" style="55" bestFit="1" customWidth="1"/>
    <col min="6" max="6" width="16.42578125" style="55" customWidth="1"/>
    <col min="7" max="7" width="12.7109375" style="55" customWidth="1"/>
    <col min="8" max="8" width="17.42578125" style="55" customWidth="1"/>
    <col min="9" max="9" width="3.42578125" style="55" customWidth="1"/>
    <col min="10" max="16384" width="14.42578125" style="55"/>
  </cols>
  <sheetData>
    <row r="1" spans="1:10" ht="39" customHeight="1" x14ac:dyDescent="0.2">
      <c r="A1" s="53"/>
      <c r="B1" s="54"/>
      <c r="C1" s="54"/>
      <c r="D1" s="54"/>
      <c r="E1" s="54"/>
      <c r="F1" s="54"/>
      <c r="G1" s="54"/>
      <c r="H1" s="54"/>
      <c r="I1" s="54"/>
    </row>
    <row r="2" spans="1:10" x14ac:dyDescent="0.25">
      <c r="A2" s="53"/>
      <c r="B2" s="56"/>
      <c r="C2" s="56"/>
      <c r="D2" s="56"/>
      <c r="E2" s="57"/>
      <c r="F2" s="57"/>
      <c r="G2" s="57"/>
      <c r="H2" s="57"/>
      <c r="I2" s="56"/>
    </row>
    <row r="3" spans="1:10" ht="12.75" x14ac:dyDescent="0.2">
      <c r="A3" s="53"/>
      <c r="B3" s="56"/>
      <c r="C3" s="56"/>
      <c r="D3" s="56"/>
      <c r="E3" s="273"/>
      <c r="F3" s="274"/>
      <c r="G3" s="274"/>
      <c r="H3" s="274"/>
      <c r="I3" s="56"/>
    </row>
    <row r="4" spans="1:10" ht="12.75" x14ac:dyDescent="0.2">
      <c r="A4" s="53"/>
      <c r="B4" s="275" t="s">
        <v>83</v>
      </c>
      <c r="C4" s="276"/>
      <c r="D4" s="276"/>
      <c r="E4" s="277"/>
      <c r="F4" s="274"/>
      <c r="G4" s="274"/>
      <c r="H4" s="274"/>
      <c r="I4" s="56"/>
    </row>
    <row r="5" spans="1:10" ht="12.75" x14ac:dyDescent="0.2">
      <c r="A5" s="53"/>
      <c r="B5" s="276"/>
      <c r="C5" s="276"/>
      <c r="D5" s="276"/>
      <c r="E5" s="277"/>
      <c r="F5" s="274"/>
      <c r="G5" s="274"/>
      <c r="H5" s="274"/>
      <c r="I5" s="56"/>
    </row>
    <row r="6" spans="1:10" ht="12.75" x14ac:dyDescent="0.2">
      <c r="A6" s="53"/>
      <c r="B6" s="276"/>
      <c r="C6" s="276"/>
      <c r="D6" s="276"/>
      <c r="E6" s="277"/>
      <c r="F6" s="274"/>
      <c r="G6" s="274"/>
      <c r="H6" s="274"/>
      <c r="I6" s="56"/>
    </row>
    <row r="7" spans="1:10" ht="36.75" customHeight="1" x14ac:dyDescent="0.2">
      <c r="A7" s="53"/>
      <c r="B7" s="54"/>
      <c r="C7" s="54"/>
      <c r="D7" s="54"/>
      <c r="E7" s="54"/>
      <c r="F7" s="54"/>
      <c r="G7" s="54"/>
      <c r="H7" s="54"/>
      <c r="I7" s="54"/>
    </row>
    <row r="8" spans="1:10" ht="21.75" customHeight="1" x14ac:dyDescent="0.2">
      <c r="B8" s="58"/>
      <c r="C8" s="58"/>
      <c r="D8" s="58"/>
      <c r="E8" s="58"/>
      <c r="F8" s="58"/>
      <c r="G8" s="58"/>
      <c r="H8" s="58"/>
      <c r="I8" s="58"/>
      <c r="J8" s="59"/>
    </row>
    <row r="9" spans="1:10" ht="15.75" customHeight="1" x14ac:dyDescent="0.2">
      <c r="B9" s="278"/>
      <c r="C9" s="278"/>
      <c r="D9" s="278"/>
      <c r="E9" s="278"/>
      <c r="F9" s="278"/>
      <c r="G9" s="278"/>
      <c r="H9" s="278"/>
    </row>
    <row r="10" spans="1:10" ht="15" customHeight="1" x14ac:dyDescent="0.2">
      <c r="B10" s="60" t="s">
        <v>84</v>
      </c>
      <c r="G10" s="60"/>
      <c r="H10" s="61" t="s">
        <v>85</v>
      </c>
    </row>
    <row r="11" spans="1:10" ht="14.25" x14ac:dyDescent="0.2">
      <c r="B11" s="62" t="s">
        <v>86</v>
      </c>
      <c r="G11" s="62"/>
      <c r="H11" s="63" t="str">
        <f>"JS"&amp;J11</f>
        <v>JS91</v>
      </c>
      <c r="J11" s="55">
        <v>91</v>
      </c>
    </row>
    <row r="12" spans="1:10" ht="15" x14ac:dyDescent="0.2">
      <c r="B12" s="62" t="s">
        <v>87</v>
      </c>
      <c r="G12" s="60"/>
      <c r="H12" s="61" t="s">
        <v>88</v>
      </c>
      <c r="J12" s="55">
        <v>7</v>
      </c>
    </row>
    <row r="13" spans="1:10" ht="14.25" x14ac:dyDescent="0.2">
      <c r="B13" s="62" t="s">
        <v>147</v>
      </c>
      <c r="G13" s="64"/>
      <c r="H13" s="65">
        <v>44946</v>
      </c>
    </row>
    <row r="14" spans="1:10" ht="15" x14ac:dyDescent="0.2">
      <c r="G14" s="60"/>
      <c r="H14" s="61" t="s">
        <v>89</v>
      </c>
    </row>
    <row r="15" spans="1:10" ht="14.25" x14ac:dyDescent="0.2">
      <c r="G15" s="64"/>
      <c r="H15" s="65">
        <f>H13+J12</f>
        <v>44953</v>
      </c>
    </row>
    <row r="16" spans="1:10" ht="14.25" x14ac:dyDescent="0.2">
      <c r="B16" s="62"/>
      <c r="F16" s="65"/>
      <c r="G16" s="65"/>
      <c r="H16" s="65"/>
    </row>
    <row r="17" spans="2:8" ht="14.25" x14ac:dyDescent="0.2">
      <c r="F17" s="65"/>
      <c r="G17" s="65"/>
      <c r="H17" s="66"/>
    </row>
    <row r="18" spans="2:8" ht="22.5" customHeight="1" x14ac:dyDescent="0.2">
      <c r="B18" s="279" t="s">
        <v>90</v>
      </c>
      <c r="C18" s="280"/>
      <c r="D18" s="280"/>
      <c r="E18" s="280"/>
      <c r="F18" s="65"/>
      <c r="G18" s="65"/>
      <c r="H18" s="66"/>
    </row>
    <row r="19" spans="2:8" ht="15" x14ac:dyDescent="0.2">
      <c r="B19" s="279" t="s">
        <v>5</v>
      </c>
      <c r="C19" s="280"/>
      <c r="D19" s="280"/>
      <c r="E19" s="280"/>
      <c r="F19" s="65"/>
      <c r="G19" s="65"/>
      <c r="H19" s="66"/>
    </row>
    <row r="20" spans="2:8" ht="14.25" x14ac:dyDescent="0.2">
      <c r="B20" s="282" t="s">
        <v>210</v>
      </c>
      <c r="C20" s="280"/>
      <c r="D20" s="280"/>
      <c r="E20" s="280"/>
      <c r="F20" s="65"/>
      <c r="G20" s="65"/>
      <c r="H20" s="66"/>
    </row>
    <row r="21" spans="2:8" ht="14.25" x14ac:dyDescent="0.2">
      <c r="B21" s="62"/>
      <c r="C21" s="67"/>
      <c r="D21" s="67"/>
      <c r="E21" s="67"/>
      <c r="F21" s="65"/>
      <c r="G21" s="65"/>
      <c r="H21" s="66"/>
    </row>
    <row r="22" spans="2:8" ht="14.25" x14ac:dyDescent="0.2">
      <c r="B22" s="62"/>
      <c r="C22" s="67"/>
      <c r="D22" s="67"/>
      <c r="E22" s="67"/>
      <c r="F22" s="65"/>
      <c r="G22" s="65"/>
      <c r="H22" s="66"/>
    </row>
    <row r="23" spans="2:8" ht="22.5" customHeight="1" x14ac:dyDescent="0.2">
      <c r="B23" s="282"/>
      <c r="C23" s="280"/>
      <c r="D23" s="280"/>
      <c r="E23" s="280"/>
      <c r="F23" s="67"/>
      <c r="G23" s="67"/>
      <c r="H23" s="67"/>
    </row>
    <row r="24" spans="2:8" ht="27.75" customHeight="1" x14ac:dyDescent="0.2">
      <c r="B24" s="280"/>
      <c r="C24" s="280"/>
      <c r="D24" s="280"/>
      <c r="E24" s="280"/>
      <c r="F24" s="280"/>
      <c r="G24" s="280"/>
      <c r="H24" s="280"/>
    </row>
    <row r="25" spans="2:8" ht="27.75" customHeight="1" x14ac:dyDescent="0.2">
      <c r="B25" s="67"/>
      <c r="C25" s="67"/>
      <c r="D25" s="67"/>
      <c r="E25" s="67"/>
      <c r="F25" s="67"/>
      <c r="G25" s="67"/>
      <c r="H25" s="67"/>
    </row>
    <row r="26" spans="2:8" ht="15.75" customHeight="1" x14ac:dyDescent="0.2">
      <c r="B26" s="67"/>
      <c r="C26" s="67"/>
      <c r="D26" s="67"/>
      <c r="E26" s="67"/>
      <c r="F26" s="67"/>
      <c r="G26" s="67"/>
      <c r="H26" s="67"/>
    </row>
    <row r="27" spans="2:8" ht="15" x14ac:dyDescent="0.25">
      <c r="B27" s="68" t="s">
        <v>88</v>
      </c>
      <c r="C27" s="272" t="s">
        <v>92</v>
      </c>
      <c r="D27" s="272"/>
      <c r="E27" s="69" t="s">
        <v>93</v>
      </c>
      <c r="F27" s="69" t="s">
        <v>129</v>
      </c>
      <c r="G27" s="70" t="s">
        <v>18</v>
      </c>
      <c r="H27" s="69" t="s">
        <v>167</v>
      </c>
    </row>
    <row r="28" spans="2:8" ht="25.5" customHeight="1" x14ac:dyDescent="0.2">
      <c r="B28" s="71">
        <v>44945</v>
      </c>
      <c r="C28" s="290" t="s">
        <v>122</v>
      </c>
      <c r="D28" s="280"/>
      <c r="E28" s="73">
        <v>40</v>
      </c>
      <c r="F28" s="137">
        <f>2+(15/60)</f>
        <v>2.25</v>
      </c>
      <c r="G28" s="75">
        <v>0.1</v>
      </c>
      <c r="H28" s="73">
        <f>E28*F28</f>
        <v>90</v>
      </c>
    </row>
    <row r="29" spans="2:8" ht="30" customHeight="1" x14ac:dyDescent="0.2">
      <c r="B29" s="76"/>
      <c r="C29" s="286"/>
      <c r="D29" s="287"/>
      <c r="E29" s="77"/>
      <c r="F29" s="78"/>
      <c r="G29" s="78"/>
      <c r="H29" s="77"/>
    </row>
    <row r="30" spans="2:8" ht="30" customHeight="1" x14ac:dyDescent="0.2">
      <c r="B30" s="72"/>
      <c r="C30" s="290"/>
      <c r="D30" s="280"/>
      <c r="E30" s="63"/>
      <c r="F30" s="79" t="s">
        <v>97</v>
      </c>
      <c r="G30" s="79"/>
      <c r="H30" s="80">
        <f>SUM(H28:H29)</f>
        <v>90</v>
      </c>
    </row>
    <row r="31" spans="2:8" ht="30" customHeight="1" x14ac:dyDescent="0.2">
      <c r="B31" s="72"/>
      <c r="C31" s="72"/>
      <c r="D31" s="67"/>
      <c r="E31" s="63"/>
      <c r="F31" s="79" t="s">
        <v>98</v>
      </c>
      <c r="G31" s="79"/>
      <c r="H31" s="80">
        <f>H30*0.1</f>
        <v>9</v>
      </c>
    </row>
    <row r="32" spans="2:8" ht="30" customHeight="1" x14ac:dyDescent="0.2">
      <c r="B32" s="72"/>
      <c r="C32" s="290"/>
      <c r="D32" s="280"/>
      <c r="E32" s="63"/>
      <c r="F32" s="81" t="s">
        <v>99</v>
      </c>
      <c r="G32" s="81"/>
      <c r="H32" s="82">
        <v>0</v>
      </c>
    </row>
    <row r="33" spans="1:9" ht="30" customHeight="1" x14ac:dyDescent="0.25">
      <c r="B33" s="83"/>
      <c r="C33" s="291"/>
      <c r="D33" s="278"/>
      <c r="E33" s="84"/>
      <c r="F33" s="85" t="s">
        <v>100</v>
      </c>
      <c r="G33" s="85"/>
      <c r="H33" s="86">
        <f>SUM(H30:H32)</f>
        <v>99</v>
      </c>
    </row>
    <row r="34" spans="1:9" ht="30" customHeight="1" x14ac:dyDescent="0.25">
      <c r="B34" s="83"/>
      <c r="C34" s="83"/>
      <c r="E34" s="84"/>
      <c r="F34" s="85"/>
      <c r="G34" s="85"/>
      <c r="H34" s="87"/>
    </row>
    <row r="35" spans="1:9" ht="30" customHeight="1" x14ac:dyDescent="0.25">
      <c r="B35" s="83"/>
      <c r="C35" s="83"/>
      <c r="E35" s="84"/>
      <c r="F35" s="85"/>
      <c r="G35" s="85"/>
      <c r="H35" s="86"/>
    </row>
    <row r="36" spans="1:9" ht="30" customHeight="1" x14ac:dyDescent="0.25">
      <c r="B36" s="83"/>
      <c r="C36" s="83"/>
      <c r="E36" s="84"/>
      <c r="F36" s="85"/>
      <c r="G36" s="85"/>
      <c r="H36" s="86"/>
    </row>
    <row r="37" spans="1:9" ht="30" customHeight="1" x14ac:dyDescent="0.25">
      <c r="B37" s="83"/>
      <c r="C37" s="83"/>
      <c r="E37" s="84"/>
      <c r="F37" s="85"/>
      <c r="G37" s="85"/>
      <c r="H37" s="86"/>
    </row>
    <row r="38" spans="1:9" ht="30" customHeight="1" x14ac:dyDescent="0.25">
      <c r="B38" s="83"/>
      <c r="C38" s="83"/>
      <c r="E38" s="84"/>
      <c r="F38" s="85"/>
      <c r="G38" s="85"/>
      <c r="H38" s="86"/>
    </row>
    <row r="39" spans="1:9" ht="30" customHeight="1" x14ac:dyDescent="0.25">
      <c r="B39" s="83"/>
      <c r="C39" s="83"/>
      <c r="E39" s="84"/>
      <c r="F39" s="85"/>
      <c r="G39" s="85"/>
      <c r="H39" s="86"/>
    </row>
    <row r="40" spans="1:9" ht="30" customHeight="1" x14ac:dyDescent="0.25">
      <c r="B40" s="83"/>
      <c r="C40" s="83"/>
      <c r="E40" s="84"/>
      <c r="F40" s="85"/>
      <c r="G40" s="85"/>
      <c r="H40" s="86"/>
    </row>
    <row r="41" spans="1:9" ht="30" customHeight="1" x14ac:dyDescent="0.2">
      <c r="B41" s="83"/>
      <c r="C41" s="88"/>
      <c r="D41" s="292" t="s">
        <v>101</v>
      </c>
      <c r="E41" s="292"/>
      <c r="F41" s="292"/>
      <c r="G41" s="89"/>
      <c r="H41" s="90"/>
    </row>
    <row r="42" spans="1:9" ht="12.75" customHeight="1" x14ac:dyDescent="0.2"/>
    <row r="43" spans="1:9" ht="12.75" x14ac:dyDescent="0.2">
      <c r="A43" s="53"/>
      <c r="B43" s="91" t="s">
        <v>102</v>
      </c>
      <c r="C43" s="92"/>
      <c r="D43" s="92"/>
      <c r="E43" s="300" t="s">
        <v>103</v>
      </c>
      <c r="F43" s="300"/>
      <c r="G43" s="300"/>
      <c r="H43" s="300"/>
      <c r="I43" s="300"/>
    </row>
    <row r="44" spans="1:9" ht="14.25" customHeight="1" x14ac:dyDescent="0.2">
      <c r="A44" s="53"/>
      <c r="B44" s="94" t="s">
        <v>104</v>
      </c>
      <c r="C44" s="53"/>
      <c r="D44" s="53"/>
      <c r="E44" s="283">
        <f>H33</f>
        <v>99</v>
      </c>
      <c r="F44" s="283"/>
      <c r="G44" s="283"/>
      <c r="H44" s="283"/>
      <c r="I44" s="283"/>
    </row>
    <row r="45" spans="1:9" ht="15.75" customHeight="1" x14ac:dyDescent="0.2">
      <c r="A45" s="53"/>
      <c r="B45" s="94" t="s">
        <v>105</v>
      </c>
      <c r="C45" s="53"/>
      <c r="D45" s="53"/>
      <c r="E45" s="283"/>
      <c r="F45" s="283"/>
      <c r="G45" s="283"/>
      <c r="H45" s="283"/>
      <c r="I45" s="283"/>
    </row>
    <row r="46" spans="1:9" ht="14.25" x14ac:dyDescent="0.2">
      <c r="A46" s="53"/>
      <c r="B46" s="94" t="s">
        <v>106</v>
      </c>
      <c r="C46" s="53"/>
      <c r="D46" s="53"/>
      <c r="E46" s="95"/>
      <c r="F46" s="95"/>
      <c r="G46" s="95"/>
      <c r="H46" s="95"/>
      <c r="I46" s="95"/>
    </row>
    <row r="47" spans="1:9" ht="14.25" x14ac:dyDescent="0.2">
      <c r="A47" s="53"/>
      <c r="B47" s="94" t="s">
        <v>107</v>
      </c>
      <c r="C47" s="96"/>
      <c r="D47" s="96"/>
      <c r="E47" s="97"/>
      <c r="F47" s="97"/>
      <c r="G47" s="97"/>
      <c r="H47" s="97"/>
      <c r="I47" s="95"/>
    </row>
    <row r="48" spans="1:9" ht="53.25" customHeight="1" x14ac:dyDescent="0.2">
      <c r="B48" s="284"/>
      <c r="C48" s="278"/>
      <c r="D48" s="278"/>
      <c r="E48" s="278"/>
      <c r="F48" s="278"/>
      <c r="G48" s="278"/>
      <c r="H48" s="278"/>
    </row>
    <row r="52" spans="6:7" ht="15.75" customHeight="1" x14ac:dyDescent="0.2">
      <c r="F52" s="62"/>
      <c r="G52" s="62"/>
    </row>
    <row r="53" spans="6:7" ht="15.75" customHeight="1" x14ac:dyDescent="0.2">
      <c r="F53" s="62"/>
      <c r="G53" s="62"/>
    </row>
    <row r="54" spans="6:7" ht="15.75" customHeight="1" x14ac:dyDescent="0.2">
      <c r="F54" s="62"/>
      <c r="G54" s="62"/>
    </row>
    <row r="57" spans="6:7" ht="15.75" customHeight="1" x14ac:dyDescent="0.2">
      <c r="F57" s="62"/>
      <c r="G57" s="62"/>
    </row>
    <row r="59" spans="6:7" ht="15.75" customHeight="1" x14ac:dyDescent="0.2">
      <c r="F59" s="62"/>
      <c r="G59" s="62"/>
    </row>
  </sheetData>
  <mergeCells count="21">
    <mergeCell ref="E43:I43"/>
    <mergeCell ref="E44:I45"/>
    <mergeCell ref="B48:H48"/>
    <mergeCell ref="C28:D28"/>
    <mergeCell ref="C29:D29"/>
    <mergeCell ref="C30:D30"/>
    <mergeCell ref="C32:D32"/>
    <mergeCell ref="C33:D33"/>
    <mergeCell ref="D41:F41"/>
    <mergeCell ref="C27:D27"/>
    <mergeCell ref="E3:H3"/>
    <mergeCell ref="B4:D6"/>
    <mergeCell ref="E4:H4"/>
    <mergeCell ref="E5:H5"/>
    <mergeCell ref="E6:H6"/>
    <mergeCell ref="B9:H9"/>
    <mergeCell ref="B18:E18"/>
    <mergeCell ref="B19:E19"/>
    <mergeCell ref="B20:E20"/>
    <mergeCell ref="B23:E23"/>
    <mergeCell ref="B24:H24"/>
  </mergeCells>
  <conditionalFormatting sqref="B26">
    <cfRule type="notContainsBlanks" dxfId="22" priority="1">
      <formula>LEN(TRIM(B26))&gt;0</formula>
    </cfRule>
  </conditionalFormatting>
  <hyperlinks>
    <hyperlink ref="B12" r:id="rId1" xr:uid="{0EC09F8E-3CAF-40CA-BBA8-82CCB03E51FD}"/>
  </hyperlinks>
  <printOptions horizontalCentered="1" verticalCentered="1"/>
  <pageMargins left="0.11" right="7.0000000000000007E-2" top="0.08" bottom="0.05" header="0.3" footer="0.3"/>
  <pageSetup paperSize="9" scale="81" orientation="portrait" r:id="rId2"/>
  <drawing r:id="rId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92F59D-AF48-4396-B683-F5487DF2827D}">
  <sheetPr codeName="Sheet38">
    <tabColor theme="7" tint="0.59999389629810485"/>
    <outlinePr summaryBelow="0" summaryRight="0"/>
    <pageSetUpPr fitToPage="1"/>
  </sheetPr>
  <dimension ref="A1:J59"/>
  <sheetViews>
    <sheetView showGridLines="0" topLeftCell="A3" workbookViewId="0">
      <selection activeCell="H11" sqref="H11"/>
    </sheetView>
  </sheetViews>
  <sheetFormatPr defaultColWidth="14.42578125" defaultRowHeight="15.75" customHeight="1" x14ac:dyDescent="0.2"/>
  <cols>
    <col min="1" max="1" width="3.42578125" style="55" customWidth="1"/>
    <col min="2" max="3" width="14.42578125" style="55"/>
    <col min="4" max="4" width="26.7109375" style="55" customWidth="1"/>
    <col min="5" max="5" width="18.140625" style="55" bestFit="1" customWidth="1"/>
    <col min="6" max="6" width="16.42578125" style="55" customWidth="1"/>
    <col min="7" max="7" width="12.7109375" style="55" customWidth="1"/>
    <col min="8" max="8" width="17.42578125" style="55" customWidth="1"/>
    <col min="9" max="9" width="3.42578125" style="55" customWidth="1"/>
    <col min="10" max="16384" width="14.42578125" style="55"/>
  </cols>
  <sheetData>
    <row r="1" spans="1:10" ht="39" customHeight="1" x14ac:dyDescent="0.2">
      <c r="A1" s="53"/>
      <c r="B1" s="54"/>
      <c r="C1" s="54"/>
      <c r="D1" s="54"/>
      <c r="E1" s="54"/>
      <c r="F1" s="54"/>
      <c r="G1" s="54"/>
      <c r="H1" s="54"/>
      <c r="I1" s="54"/>
    </row>
    <row r="2" spans="1:10" x14ac:dyDescent="0.25">
      <c r="A2" s="53"/>
      <c r="B2" s="56"/>
      <c r="C2" s="56"/>
      <c r="D2" s="56"/>
      <c r="E2" s="57"/>
      <c r="F2" s="57"/>
      <c r="G2" s="57"/>
      <c r="H2" s="57"/>
      <c r="I2" s="56"/>
    </row>
    <row r="3" spans="1:10" ht="12.75" x14ac:dyDescent="0.2">
      <c r="A3" s="53"/>
      <c r="B3" s="56"/>
      <c r="C3" s="56"/>
      <c r="D3" s="56"/>
      <c r="E3" s="273"/>
      <c r="F3" s="274"/>
      <c r="G3" s="274"/>
      <c r="H3" s="274"/>
      <c r="I3" s="56"/>
    </row>
    <row r="4" spans="1:10" ht="12.75" x14ac:dyDescent="0.2">
      <c r="A4" s="53"/>
      <c r="B4" s="275" t="s">
        <v>83</v>
      </c>
      <c r="C4" s="276"/>
      <c r="D4" s="276"/>
      <c r="E4" s="277"/>
      <c r="F4" s="274"/>
      <c r="G4" s="274"/>
      <c r="H4" s="274"/>
      <c r="I4" s="56"/>
    </row>
    <row r="5" spans="1:10" ht="12.75" x14ac:dyDescent="0.2">
      <c r="A5" s="53"/>
      <c r="B5" s="276"/>
      <c r="C5" s="276"/>
      <c r="D5" s="276"/>
      <c r="E5" s="277"/>
      <c r="F5" s="274"/>
      <c r="G5" s="274"/>
      <c r="H5" s="274"/>
      <c r="I5" s="56"/>
    </row>
    <row r="6" spans="1:10" ht="12.75" x14ac:dyDescent="0.2">
      <c r="A6" s="53"/>
      <c r="B6" s="276"/>
      <c r="C6" s="276"/>
      <c r="D6" s="276"/>
      <c r="E6" s="277"/>
      <c r="F6" s="274"/>
      <c r="G6" s="274"/>
      <c r="H6" s="274"/>
      <c r="I6" s="56"/>
    </row>
    <row r="7" spans="1:10" ht="36.75" customHeight="1" x14ac:dyDescent="0.2">
      <c r="A7" s="53"/>
      <c r="B7" s="54"/>
      <c r="C7" s="54"/>
      <c r="D7" s="54"/>
      <c r="E7" s="54"/>
      <c r="F7" s="54"/>
      <c r="G7" s="54"/>
      <c r="H7" s="54"/>
      <c r="I7" s="54"/>
    </row>
    <row r="8" spans="1:10" ht="21.75" customHeight="1" x14ac:dyDescent="0.2">
      <c r="B8" s="58"/>
      <c r="C8" s="58"/>
      <c r="D8" s="58"/>
      <c r="E8" s="58"/>
      <c r="F8" s="58"/>
      <c r="G8" s="58"/>
      <c r="H8" s="58"/>
      <c r="I8" s="58"/>
      <c r="J8" s="59"/>
    </row>
    <row r="9" spans="1:10" ht="15.75" customHeight="1" x14ac:dyDescent="0.2">
      <c r="B9" s="278"/>
      <c r="C9" s="278"/>
      <c r="D9" s="278"/>
      <c r="E9" s="278"/>
      <c r="F9" s="278"/>
      <c r="G9" s="278"/>
      <c r="H9" s="278"/>
    </row>
    <row r="10" spans="1:10" ht="15" customHeight="1" x14ac:dyDescent="0.2">
      <c r="B10" s="60" t="s">
        <v>84</v>
      </c>
      <c r="G10" s="60"/>
      <c r="H10" s="61" t="s">
        <v>85</v>
      </c>
    </row>
    <row r="11" spans="1:10" ht="14.25" x14ac:dyDescent="0.2">
      <c r="B11" s="62" t="s">
        <v>86</v>
      </c>
      <c r="G11" s="62"/>
      <c r="H11" s="63" t="str">
        <f>"KF"&amp;J11</f>
        <v>KF28</v>
      </c>
      <c r="J11" s="55">
        <v>28</v>
      </c>
    </row>
    <row r="12" spans="1:10" ht="15" x14ac:dyDescent="0.2">
      <c r="B12" s="62" t="s">
        <v>87</v>
      </c>
      <c r="G12" s="60"/>
      <c r="H12" s="61" t="s">
        <v>88</v>
      </c>
      <c r="J12" s="55">
        <v>7</v>
      </c>
    </row>
    <row r="13" spans="1:10" ht="14.25" x14ac:dyDescent="0.2">
      <c r="B13" s="62" t="s">
        <v>147</v>
      </c>
      <c r="G13" s="64"/>
      <c r="H13" s="65">
        <v>44946</v>
      </c>
    </row>
    <row r="14" spans="1:10" ht="15" x14ac:dyDescent="0.2">
      <c r="G14" s="60"/>
      <c r="H14" s="61" t="s">
        <v>89</v>
      </c>
    </row>
    <row r="15" spans="1:10" ht="14.25" x14ac:dyDescent="0.2">
      <c r="G15" s="64"/>
      <c r="H15" s="65">
        <f>H13+J12</f>
        <v>44953</v>
      </c>
    </row>
    <row r="16" spans="1:10" ht="14.25" x14ac:dyDescent="0.2">
      <c r="B16" s="62"/>
      <c r="F16" s="65"/>
      <c r="G16" s="65"/>
      <c r="H16" s="65"/>
    </row>
    <row r="17" spans="2:8" ht="14.25" x14ac:dyDescent="0.2">
      <c r="F17" s="65"/>
      <c r="G17" s="65"/>
      <c r="H17" s="66"/>
    </row>
    <row r="18" spans="2:8" ht="22.5" customHeight="1" x14ac:dyDescent="0.2">
      <c r="B18" s="279" t="s">
        <v>90</v>
      </c>
      <c r="C18" s="280"/>
      <c r="D18" s="280"/>
      <c r="E18" s="280"/>
      <c r="F18" s="65"/>
      <c r="G18" s="65"/>
      <c r="H18" s="66"/>
    </row>
    <row r="19" spans="2:8" ht="15" x14ac:dyDescent="0.2">
      <c r="B19" s="279" t="s">
        <v>211</v>
      </c>
      <c r="C19" s="280"/>
      <c r="D19" s="280"/>
      <c r="E19" s="280"/>
      <c r="F19" s="65"/>
      <c r="G19" s="65"/>
      <c r="H19" s="66"/>
    </row>
    <row r="20" spans="2:8" ht="14.25" x14ac:dyDescent="0.2">
      <c r="B20" s="282" t="s">
        <v>212</v>
      </c>
      <c r="C20" s="280"/>
      <c r="D20" s="280"/>
      <c r="E20" s="280"/>
      <c r="F20" s="65"/>
      <c r="G20" s="65"/>
      <c r="H20" s="66"/>
    </row>
    <row r="21" spans="2:8" ht="14.25" x14ac:dyDescent="0.2">
      <c r="B21" s="62"/>
      <c r="C21" s="67"/>
      <c r="D21" s="67"/>
      <c r="E21" s="67"/>
      <c r="F21" s="65"/>
      <c r="G21" s="65"/>
      <c r="H21" s="66"/>
    </row>
    <row r="22" spans="2:8" ht="14.25" x14ac:dyDescent="0.2">
      <c r="B22" s="62"/>
      <c r="C22" s="67"/>
      <c r="D22" s="67"/>
      <c r="E22" s="67"/>
      <c r="F22" s="65"/>
      <c r="G22" s="65"/>
      <c r="H22" s="66"/>
    </row>
    <row r="23" spans="2:8" ht="22.5" customHeight="1" x14ac:dyDescent="0.2">
      <c r="B23" s="282"/>
      <c r="C23" s="280"/>
      <c r="D23" s="280"/>
      <c r="E23" s="280"/>
      <c r="F23" s="67"/>
      <c r="G23" s="67"/>
      <c r="H23" s="67"/>
    </row>
    <row r="24" spans="2:8" ht="27.75" customHeight="1" x14ac:dyDescent="0.2">
      <c r="B24" s="280"/>
      <c r="C24" s="280"/>
      <c r="D24" s="280"/>
      <c r="E24" s="280"/>
      <c r="F24" s="280"/>
      <c r="G24" s="280"/>
      <c r="H24" s="280"/>
    </row>
    <row r="25" spans="2:8" ht="27.75" customHeight="1" x14ac:dyDescent="0.2">
      <c r="B25" s="67"/>
      <c r="C25" s="67"/>
      <c r="D25" s="67"/>
      <c r="E25" s="67"/>
      <c r="F25" s="67"/>
      <c r="G25" s="67"/>
      <c r="H25" s="67"/>
    </row>
    <row r="26" spans="2:8" ht="15.75" customHeight="1" x14ac:dyDescent="0.2">
      <c r="B26" s="67"/>
      <c r="C26" s="67"/>
      <c r="D26" s="67"/>
      <c r="E26" s="67"/>
      <c r="F26" s="67"/>
      <c r="G26" s="67"/>
      <c r="H26" s="67"/>
    </row>
    <row r="27" spans="2:8" ht="15" x14ac:dyDescent="0.25">
      <c r="B27" s="68" t="s">
        <v>88</v>
      </c>
      <c r="C27" s="272" t="s">
        <v>92</v>
      </c>
      <c r="D27" s="272"/>
      <c r="E27" s="69" t="s">
        <v>110</v>
      </c>
      <c r="F27" s="69" t="s">
        <v>129</v>
      </c>
      <c r="G27" s="70" t="s">
        <v>18</v>
      </c>
      <c r="H27" s="69" t="s">
        <v>121</v>
      </c>
    </row>
    <row r="28" spans="2:8" ht="25.5" customHeight="1" x14ac:dyDescent="0.2">
      <c r="B28" s="71">
        <v>44945</v>
      </c>
      <c r="C28" s="290" t="s">
        <v>213</v>
      </c>
      <c r="D28" s="280"/>
      <c r="E28" s="73">
        <v>38</v>
      </c>
      <c r="F28" s="74">
        <v>3</v>
      </c>
      <c r="G28" s="75">
        <v>0.1</v>
      </c>
      <c r="H28" s="73">
        <f>E28*F28</f>
        <v>114</v>
      </c>
    </row>
    <row r="29" spans="2:8" ht="30" customHeight="1" x14ac:dyDescent="0.2">
      <c r="B29" s="76"/>
      <c r="C29" s="286"/>
      <c r="D29" s="287"/>
      <c r="E29" s="77"/>
      <c r="F29" s="78"/>
      <c r="G29" s="78"/>
      <c r="H29" s="77"/>
    </row>
    <row r="30" spans="2:8" ht="30" customHeight="1" x14ac:dyDescent="0.2">
      <c r="B30" s="72"/>
      <c r="C30" s="290"/>
      <c r="D30" s="280"/>
      <c r="E30" s="63"/>
      <c r="F30" s="79" t="s">
        <v>97</v>
      </c>
      <c r="G30" s="79"/>
      <c r="H30" s="80">
        <f>SUM(H28:H29)</f>
        <v>114</v>
      </c>
    </row>
    <row r="31" spans="2:8" ht="30" customHeight="1" x14ac:dyDescent="0.2">
      <c r="B31" s="72"/>
      <c r="C31" s="72"/>
      <c r="D31" s="67"/>
      <c r="E31" s="63"/>
      <c r="F31" s="79" t="s">
        <v>98</v>
      </c>
      <c r="G31" s="79"/>
      <c r="H31" s="80">
        <f>H30*0.1</f>
        <v>11.4</v>
      </c>
    </row>
    <row r="32" spans="2:8" ht="30" customHeight="1" x14ac:dyDescent="0.2">
      <c r="B32" s="72"/>
      <c r="C32" s="290"/>
      <c r="D32" s="280"/>
      <c r="E32" s="63"/>
      <c r="F32" s="81" t="s">
        <v>99</v>
      </c>
      <c r="G32" s="81"/>
      <c r="H32" s="82">
        <v>0</v>
      </c>
    </row>
    <row r="33" spans="1:9" ht="30" customHeight="1" x14ac:dyDescent="0.25">
      <c r="B33" s="83"/>
      <c r="C33" s="291"/>
      <c r="D33" s="278"/>
      <c r="E33" s="84"/>
      <c r="F33" s="85" t="s">
        <v>100</v>
      </c>
      <c r="G33" s="85"/>
      <c r="H33" s="86">
        <f>SUM(H30:H32)</f>
        <v>125.4</v>
      </c>
    </row>
    <row r="34" spans="1:9" ht="30" customHeight="1" x14ac:dyDescent="0.25">
      <c r="B34" s="83"/>
      <c r="C34" s="83"/>
      <c r="E34" s="84"/>
      <c r="F34" s="85"/>
      <c r="G34" s="85"/>
      <c r="H34" s="87"/>
    </row>
    <row r="35" spans="1:9" ht="30" customHeight="1" x14ac:dyDescent="0.25">
      <c r="B35" s="83"/>
      <c r="C35" s="83"/>
      <c r="E35" s="84"/>
      <c r="F35" s="85"/>
      <c r="G35" s="85"/>
      <c r="H35" s="86"/>
    </row>
    <row r="36" spans="1:9" ht="30" customHeight="1" x14ac:dyDescent="0.25">
      <c r="B36" s="83"/>
      <c r="C36" s="83"/>
      <c r="E36" s="84"/>
      <c r="F36" s="85"/>
      <c r="G36" s="85"/>
      <c r="H36" s="86"/>
    </row>
    <row r="37" spans="1:9" ht="30" customHeight="1" x14ac:dyDescent="0.25">
      <c r="B37" s="83"/>
      <c r="C37" s="83"/>
      <c r="E37" s="84"/>
      <c r="F37" s="85"/>
      <c r="G37" s="85"/>
      <c r="H37" s="86"/>
    </row>
    <row r="38" spans="1:9" ht="30" customHeight="1" x14ac:dyDescent="0.25">
      <c r="B38" s="83"/>
      <c r="C38" s="83"/>
      <c r="E38" s="84"/>
      <c r="F38" s="85"/>
      <c r="G38" s="85"/>
      <c r="H38" s="86"/>
    </row>
    <row r="39" spans="1:9" ht="30" customHeight="1" x14ac:dyDescent="0.25">
      <c r="B39" s="83"/>
      <c r="C39" s="83"/>
      <c r="E39" s="84"/>
      <c r="F39" s="85"/>
      <c r="G39" s="85"/>
      <c r="H39" s="86"/>
    </row>
    <row r="40" spans="1:9" ht="30" customHeight="1" x14ac:dyDescent="0.25">
      <c r="B40" s="83"/>
      <c r="C40" s="83"/>
      <c r="E40" s="84"/>
      <c r="F40" s="85"/>
      <c r="G40" s="85"/>
      <c r="H40" s="86"/>
    </row>
    <row r="41" spans="1:9" ht="30" customHeight="1" x14ac:dyDescent="0.2">
      <c r="B41" s="83"/>
      <c r="C41" s="88"/>
      <c r="D41" s="292" t="s">
        <v>101</v>
      </c>
      <c r="E41" s="292"/>
      <c r="F41" s="292"/>
      <c r="G41" s="89"/>
      <c r="H41" s="90"/>
    </row>
    <row r="42" spans="1:9" ht="12.75" customHeight="1" x14ac:dyDescent="0.2"/>
    <row r="43" spans="1:9" ht="12.75" x14ac:dyDescent="0.2">
      <c r="A43" s="53"/>
      <c r="B43" s="91" t="s">
        <v>102</v>
      </c>
      <c r="C43" s="92"/>
      <c r="D43" s="92"/>
      <c r="E43" s="300" t="s">
        <v>103</v>
      </c>
      <c r="F43" s="300"/>
      <c r="G43" s="300"/>
      <c r="H43" s="300"/>
      <c r="I43" s="300"/>
    </row>
    <row r="44" spans="1:9" ht="14.25" customHeight="1" x14ac:dyDescent="0.2">
      <c r="A44" s="53"/>
      <c r="B44" s="94" t="s">
        <v>104</v>
      </c>
      <c r="C44" s="53"/>
      <c r="D44" s="53"/>
      <c r="E44" s="283">
        <f>H33</f>
        <v>125.4</v>
      </c>
      <c r="F44" s="283"/>
      <c r="G44" s="283"/>
      <c r="H44" s="283"/>
      <c r="I44" s="283"/>
    </row>
    <row r="45" spans="1:9" ht="15.75" customHeight="1" x14ac:dyDescent="0.2">
      <c r="A45" s="53"/>
      <c r="B45" s="94" t="s">
        <v>105</v>
      </c>
      <c r="C45" s="53"/>
      <c r="D45" s="53"/>
      <c r="E45" s="283"/>
      <c r="F45" s="283"/>
      <c r="G45" s="283"/>
      <c r="H45" s="283"/>
      <c r="I45" s="283"/>
    </row>
    <row r="46" spans="1:9" ht="14.25" x14ac:dyDescent="0.2">
      <c r="A46" s="53"/>
      <c r="B46" s="94" t="s">
        <v>106</v>
      </c>
      <c r="C46" s="53"/>
      <c r="D46" s="53"/>
      <c r="E46" s="95"/>
      <c r="F46" s="95"/>
      <c r="G46" s="95"/>
      <c r="H46" s="95"/>
      <c r="I46" s="95"/>
    </row>
    <row r="47" spans="1:9" ht="14.25" x14ac:dyDescent="0.2">
      <c r="A47" s="53"/>
      <c r="B47" s="94" t="s">
        <v>107</v>
      </c>
      <c r="C47" s="96"/>
      <c r="D47" s="96"/>
      <c r="E47" s="97"/>
      <c r="F47" s="97"/>
      <c r="G47" s="97"/>
      <c r="H47" s="97"/>
      <c r="I47" s="95"/>
    </row>
    <row r="48" spans="1:9" ht="53.25" customHeight="1" x14ac:dyDescent="0.2">
      <c r="B48" s="284"/>
      <c r="C48" s="278"/>
      <c r="D48" s="278"/>
      <c r="E48" s="278"/>
      <c r="F48" s="278"/>
      <c r="G48" s="278"/>
      <c r="H48" s="278"/>
    </row>
    <row r="52" spans="6:7" ht="15.75" customHeight="1" x14ac:dyDescent="0.2">
      <c r="F52" s="62"/>
      <c r="G52" s="62"/>
    </row>
    <row r="53" spans="6:7" ht="15.75" customHeight="1" x14ac:dyDescent="0.2">
      <c r="F53" s="62"/>
      <c r="G53" s="62"/>
    </row>
    <row r="54" spans="6:7" ht="15.75" customHeight="1" x14ac:dyDescent="0.2">
      <c r="F54" s="62"/>
      <c r="G54" s="62"/>
    </row>
    <row r="57" spans="6:7" ht="15.75" customHeight="1" x14ac:dyDescent="0.2">
      <c r="F57" s="62"/>
      <c r="G57" s="62"/>
    </row>
    <row r="59" spans="6:7" ht="15.75" customHeight="1" x14ac:dyDescent="0.2">
      <c r="F59" s="62"/>
      <c r="G59" s="62"/>
    </row>
  </sheetData>
  <mergeCells count="21">
    <mergeCell ref="E43:I43"/>
    <mergeCell ref="E44:I45"/>
    <mergeCell ref="B48:H48"/>
    <mergeCell ref="C28:D28"/>
    <mergeCell ref="C29:D29"/>
    <mergeCell ref="C30:D30"/>
    <mergeCell ref="C32:D32"/>
    <mergeCell ref="C33:D33"/>
    <mergeCell ref="D41:F41"/>
    <mergeCell ref="C27:D27"/>
    <mergeCell ref="E3:H3"/>
    <mergeCell ref="B4:D6"/>
    <mergeCell ref="E4:H4"/>
    <mergeCell ref="E5:H5"/>
    <mergeCell ref="E6:H6"/>
    <mergeCell ref="B9:H9"/>
    <mergeCell ref="B18:E18"/>
    <mergeCell ref="B19:E19"/>
    <mergeCell ref="B20:E20"/>
    <mergeCell ref="B23:E23"/>
    <mergeCell ref="B24:H24"/>
  </mergeCells>
  <conditionalFormatting sqref="B26">
    <cfRule type="notContainsBlanks" dxfId="21" priority="1">
      <formula>LEN(TRIM(B26))&gt;0</formula>
    </cfRule>
  </conditionalFormatting>
  <hyperlinks>
    <hyperlink ref="B12" r:id="rId1" xr:uid="{CCD66D58-E614-45AD-A6AF-FB058C420564}"/>
  </hyperlinks>
  <pageMargins left="0.28999999999999998" right="0.19" top="0.6" bottom="0.5" header="0.31496062000000002" footer="0.31496062000000002"/>
  <pageSetup paperSize="9" scale="78" orientation="portrait" r:id="rId2"/>
  <drawing r:id="rId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5F58BE-F09A-42B2-BBBC-820A434C23C2}">
  <sheetPr codeName="Sheet39">
    <tabColor theme="7" tint="0.59999389629810485"/>
    <outlinePr summaryBelow="0" summaryRight="0"/>
    <pageSetUpPr fitToPage="1"/>
  </sheetPr>
  <dimension ref="A1:M59"/>
  <sheetViews>
    <sheetView showGridLines="0" topLeftCell="B2" zoomScale="120" zoomScaleNormal="120" workbookViewId="0">
      <selection activeCell="H11" sqref="H11"/>
    </sheetView>
  </sheetViews>
  <sheetFormatPr defaultColWidth="14.42578125" defaultRowHeight="15.75" customHeight="1" x14ac:dyDescent="0.2"/>
  <cols>
    <col min="1" max="1" width="3.42578125" style="55" customWidth="1"/>
    <col min="2" max="3" width="14.42578125" style="55"/>
    <col min="4" max="4" width="26.7109375" style="55" customWidth="1"/>
    <col min="5" max="5" width="18.140625" style="55" bestFit="1" customWidth="1"/>
    <col min="6" max="6" width="16.42578125" style="55" customWidth="1"/>
    <col min="7" max="7" width="12.7109375" style="55" customWidth="1"/>
    <col min="8" max="8" width="17.42578125" style="55" customWidth="1"/>
    <col min="9" max="9" width="3.42578125" style="55" customWidth="1"/>
    <col min="10" max="16384" width="14.42578125" style="55"/>
  </cols>
  <sheetData>
    <row r="1" spans="1:10" ht="39" customHeight="1" x14ac:dyDescent="0.2">
      <c r="A1" s="53"/>
      <c r="B1" s="54"/>
      <c r="C1" s="54"/>
      <c r="D1" s="54"/>
      <c r="E1" s="54"/>
      <c r="F1" s="54"/>
      <c r="G1" s="54"/>
      <c r="H1" s="54"/>
      <c r="I1" s="54"/>
    </row>
    <row r="2" spans="1:10" x14ac:dyDescent="0.25">
      <c r="A2" s="53"/>
      <c r="B2" s="56"/>
      <c r="C2" s="56"/>
      <c r="D2" s="56"/>
      <c r="E2" s="57"/>
      <c r="F2" s="57"/>
      <c r="G2" s="57"/>
      <c r="H2" s="57"/>
      <c r="I2" s="56"/>
    </row>
    <row r="3" spans="1:10" ht="12.75" x14ac:dyDescent="0.2">
      <c r="A3" s="53"/>
      <c r="B3" s="56"/>
      <c r="C3" s="56"/>
      <c r="D3" s="56"/>
      <c r="E3" s="273"/>
      <c r="F3" s="274"/>
      <c r="G3" s="274"/>
      <c r="H3" s="274"/>
      <c r="I3" s="56"/>
    </row>
    <row r="4" spans="1:10" ht="12.75" x14ac:dyDescent="0.2">
      <c r="A4" s="53"/>
      <c r="B4" s="275" t="s">
        <v>83</v>
      </c>
      <c r="C4" s="276"/>
      <c r="D4" s="276"/>
      <c r="E4" s="277"/>
      <c r="F4" s="274"/>
      <c r="G4" s="274"/>
      <c r="H4" s="274"/>
      <c r="I4" s="56"/>
    </row>
    <row r="5" spans="1:10" ht="12.75" x14ac:dyDescent="0.2">
      <c r="A5" s="53"/>
      <c r="B5" s="276"/>
      <c r="C5" s="276"/>
      <c r="D5" s="276"/>
      <c r="E5" s="277"/>
      <c r="F5" s="274"/>
      <c r="G5" s="274"/>
      <c r="H5" s="274"/>
      <c r="I5" s="56"/>
    </row>
    <row r="6" spans="1:10" ht="12.75" x14ac:dyDescent="0.2">
      <c r="A6" s="53"/>
      <c r="B6" s="276"/>
      <c r="C6" s="276"/>
      <c r="D6" s="276"/>
      <c r="E6" s="277"/>
      <c r="F6" s="274"/>
      <c r="G6" s="274"/>
      <c r="H6" s="274"/>
      <c r="I6" s="56"/>
    </row>
    <row r="7" spans="1:10" ht="36.75" customHeight="1" x14ac:dyDescent="0.2">
      <c r="A7" s="53"/>
      <c r="B7" s="54"/>
      <c r="C7" s="54"/>
      <c r="D7" s="54"/>
      <c r="E7" s="54"/>
      <c r="F7" s="54"/>
      <c r="G7" s="54"/>
      <c r="H7" s="54"/>
      <c r="I7" s="54"/>
    </row>
    <row r="8" spans="1:10" ht="21.75" customHeight="1" x14ac:dyDescent="0.2">
      <c r="B8" s="58"/>
      <c r="C8" s="58"/>
      <c r="D8" s="58"/>
      <c r="E8" s="58"/>
      <c r="F8" s="58"/>
      <c r="G8" s="58"/>
      <c r="H8" s="58"/>
      <c r="I8" s="58"/>
      <c r="J8" s="59"/>
    </row>
    <row r="9" spans="1:10" ht="15.75" customHeight="1" x14ac:dyDescent="0.2">
      <c r="B9" s="278"/>
      <c r="C9" s="278"/>
      <c r="D9" s="278"/>
      <c r="E9" s="278"/>
      <c r="F9" s="278"/>
      <c r="G9" s="278"/>
      <c r="H9" s="278"/>
    </row>
    <row r="10" spans="1:10" ht="15" customHeight="1" x14ac:dyDescent="0.2">
      <c r="B10" s="60" t="s">
        <v>84</v>
      </c>
      <c r="G10" s="60"/>
      <c r="H10" s="61" t="s">
        <v>85</v>
      </c>
    </row>
    <row r="11" spans="1:10" ht="14.25" x14ac:dyDescent="0.2">
      <c r="B11" s="62" t="s">
        <v>86</v>
      </c>
      <c r="G11" s="62"/>
      <c r="H11" s="63" t="str">
        <f>"KY"&amp;J11</f>
        <v>KY15</v>
      </c>
      <c r="J11" s="55">
        <v>15</v>
      </c>
    </row>
    <row r="12" spans="1:10" ht="15" x14ac:dyDescent="0.2">
      <c r="B12" s="62" t="s">
        <v>87</v>
      </c>
      <c r="G12" s="60"/>
      <c r="H12" s="61" t="s">
        <v>88</v>
      </c>
      <c r="J12" s="55">
        <v>7</v>
      </c>
    </row>
    <row r="13" spans="1:10" ht="14.25" x14ac:dyDescent="0.2">
      <c r="B13" s="62"/>
      <c r="G13" s="64"/>
      <c r="H13" s="65">
        <v>44946</v>
      </c>
    </row>
    <row r="14" spans="1:10" ht="15" x14ac:dyDescent="0.2">
      <c r="G14" s="60"/>
      <c r="H14" s="61" t="s">
        <v>89</v>
      </c>
    </row>
    <row r="15" spans="1:10" ht="14.25" x14ac:dyDescent="0.2">
      <c r="G15" s="64"/>
      <c r="H15" s="65">
        <f>H13+J12</f>
        <v>44953</v>
      </c>
    </row>
    <row r="16" spans="1:10" ht="14.25" x14ac:dyDescent="0.2">
      <c r="B16" s="62"/>
      <c r="F16" s="65"/>
      <c r="G16" s="65"/>
      <c r="H16" s="65"/>
    </row>
    <row r="17" spans="2:13" ht="14.25" x14ac:dyDescent="0.2">
      <c r="F17" s="65"/>
      <c r="G17" s="65"/>
      <c r="H17" s="66"/>
    </row>
    <row r="18" spans="2:13" ht="22.5" customHeight="1" x14ac:dyDescent="0.2">
      <c r="B18" s="279" t="s">
        <v>90</v>
      </c>
      <c r="C18" s="280"/>
      <c r="D18" s="280"/>
      <c r="E18" s="280"/>
      <c r="F18" s="65"/>
      <c r="G18" s="65"/>
      <c r="H18" s="66"/>
    </row>
    <row r="19" spans="2:13" ht="15" x14ac:dyDescent="0.2">
      <c r="B19" s="279" t="s">
        <v>67</v>
      </c>
      <c r="C19" s="280"/>
      <c r="D19" s="280"/>
      <c r="E19" s="280"/>
      <c r="F19" s="65"/>
      <c r="G19" s="65"/>
      <c r="H19" s="66"/>
    </row>
    <row r="20" spans="2:13" ht="14.25" x14ac:dyDescent="0.2">
      <c r="B20" s="281" t="s">
        <v>214</v>
      </c>
      <c r="C20" s="280"/>
      <c r="D20" s="280"/>
      <c r="E20" s="280"/>
      <c r="F20" s="65"/>
      <c r="G20" s="65"/>
      <c r="H20" s="66"/>
    </row>
    <row r="21" spans="2:13" ht="14.25" x14ac:dyDescent="0.2">
      <c r="B21" s="62"/>
      <c r="C21" s="67"/>
      <c r="D21" s="67"/>
      <c r="E21" s="67"/>
      <c r="F21" s="65"/>
      <c r="G21" s="65"/>
      <c r="H21" s="66"/>
    </row>
    <row r="22" spans="2:13" ht="14.25" x14ac:dyDescent="0.2">
      <c r="B22" s="62"/>
      <c r="C22" s="67"/>
      <c r="D22" s="67"/>
      <c r="E22" s="67"/>
      <c r="F22" s="65"/>
      <c r="G22" s="65"/>
      <c r="H22" s="66"/>
    </row>
    <row r="23" spans="2:13" ht="22.5" customHeight="1" x14ac:dyDescent="0.2">
      <c r="B23" s="282"/>
      <c r="C23" s="280"/>
      <c r="D23" s="280"/>
      <c r="E23" s="280"/>
      <c r="F23" s="67"/>
      <c r="G23" s="67"/>
      <c r="H23" s="67"/>
    </row>
    <row r="24" spans="2:13" ht="27.75" customHeight="1" x14ac:dyDescent="0.2">
      <c r="B24" s="280"/>
      <c r="C24" s="280"/>
      <c r="D24" s="280"/>
      <c r="E24" s="280"/>
      <c r="F24" s="280"/>
      <c r="G24" s="280"/>
      <c r="H24" s="280"/>
    </row>
    <row r="25" spans="2:13" ht="27.75" customHeight="1" x14ac:dyDescent="0.2">
      <c r="B25" s="67"/>
      <c r="C25" s="67"/>
      <c r="D25" s="67"/>
      <c r="E25" s="67"/>
      <c r="F25" s="67"/>
      <c r="G25" s="67"/>
      <c r="H25" s="67"/>
    </row>
    <row r="26" spans="2:13" ht="15.75" customHeight="1" x14ac:dyDescent="0.2">
      <c r="B26" s="67"/>
      <c r="C26" s="67"/>
      <c r="D26" s="67"/>
      <c r="E26" s="67"/>
      <c r="F26" s="67"/>
      <c r="G26" s="67"/>
      <c r="H26" s="67"/>
    </row>
    <row r="27" spans="2:13" ht="15" x14ac:dyDescent="0.25">
      <c r="B27" s="68" t="s">
        <v>88</v>
      </c>
      <c r="C27" s="272" t="s">
        <v>92</v>
      </c>
      <c r="D27" s="272"/>
      <c r="E27" s="69" t="s">
        <v>139</v>
      </c>
      <c r="F27" s="69" t="s">
        <v>94</v>
      </c>
      <c r="G27" s="70" t="s">
        <v>18</v>
      </c>
      <c r="H27" s="69" t="s">
        <v>121</v>
      </c>
    </row>
    <row r="28" spans="2:13" ht="25.5" customHeight="1" x14ac:dyDescent="0.2">
      <c r="B28" s="71">
        <v>44945</v>
      </c>
      <c r="C28" s="290" t="s">
        <v>140</v>
      </c>
      <c r="D28" s="280"/>
      <c r="E28" s="73">
        <v>40</v>
      </c>
      <c r="F28" s="74">
        <v>2</v>
      </c>
      <c r="G28" s="75">
        <v>0.1</v>
      </c>
      <c r="H28" s="73">
        <f>E28*F28</f>
        <v>80</v>
      </c>
    </row>
    <row r="29" spans="2:13" ht="14.25" x14ac:dyDescent="0.2">
      <c r="B29" s="76"/>
      <c r="C29" s="286"/>
      <c r="D29" s="287"/>
      <c r="E29" s="77"/>
      <c r="F29" s="78"/>
      <c r="G29" s="78"/>
      <c r="H29" s="77"/>
      <c r="M29" s="123"/>
    </row>
    <row r="30" spans="2:13" ht="30" customHeight="1" x14ac:dyDescent="0.2">
      <c r="B30" s="72"/>
      <c r="C30" s="290"/>
      <c r="D30" s="280"/>
      <c r="E30" s="63"/>
      <c r="F30" s="79" t="s">
        <v>97</v>
      </c>
      <c r="G30" s="79"/>
      <c r="H30" s="80">
        <f>SUM(H28:H29)</f>
        <v>80</v>
      </c>
    </row>
    <row r="31" spans="2:13" ht="30" customHeight="1" x14ac:dyDescent="0.2">
      <c r="B31" s="72"/>
      <c r="C31" s="72"/>
      <c r="D31" s="67"/>
      <c r="E31" s="63"/>
      <c r="F31" s="79" t="s">
        <v>98</v>
      </c>
      <c r="G31" s="79"/>
      <c r="H31" s="80">
        <f>H30*0.1</f>
        <v>8</v>
      </c>
    </row>
    <row r="32" spans="2:13" ht="30" customHeight="1" x14ac:dyDescent="0.2">
      <c r="B32" s="72"/>
      <c r="C32" s="290"/>
      <c r="D32" s="280"/>
      <c r="E32" s="63"/>
      <c r="F32" s="81" t="s">
        <v>99</v>
      </c>
      <c r="G32" s="81"/>
      <c r="H32" s="82">
        <v>0</v>
      </c>
    </row>
    <row r="33" spans="1:9" ht="30" customHeight="1" x14ac:dyDescent="0.25">
      <c r="B33" s="83"/>
      <c r="C33" s="291"/>
      <c r="D33" s="278"/>
      <c r="E33" s="84"/>
      <c r="F33" s="85" t="s">
        <v>100</v>
      </c>
      <c r="G33" s="85"/>
      <c r="H33" s="86">
        <f>SUM(H30:H32)</f>
        <v>88</v>
      </c>
    </row>
    <row r="34" spans="1:9" ht="30" customHeight="1" x14ac:dyDescent="0.25">
      <c r="B34" s="83"/>
      <c r="C34" s="83"/>
      <c r="E34" s="84"/>
      <c r="F34" s="85"/>
      <c r="G34" s="85"/>
      <c r="H34" s="87"/>
    </row>
    <row r="35" spans="1:9" ht="30" customHeight="1" x14ac:dyDescent="0.25">
      <c r="B35" s="83"/>
      <c r="C35" s="83"/>
      <c r="E35" s="84"/>
      <c r="F35" s="85"/>
      <c r="G35" s="85"/>
      <c r="H35" s="86"/>
    </row>
    <row r="36" spans="1:9" ht="30" customHeight="1" x14ac:dyDescent="0.25">
      <c r="B36" s="83"/>
      <c r="C36" s="83"/>
      <c r="E36" s="84"/>
      <c r="F36" s="85"/>
      <c r="G36" s="85"/>
      <c r="H36" s="86"/>
    </row>
    <row r="37" spans="1:9" ht="30" customHeight="1" x14ac:dyDescent="0.25">
      <c r="B37" s="83"/>
      <c r="C37" s="83"/>
      <c r="E37" s="84"/>
      <c r="F37" s="85"/>
      <c r="G37" s="85"/>
      <c r="H37" s="86"/>
    </row>
    <row r="38" spans="1:9" ht="30" customHeight="1" x14ac:dyDescent="0.25">
      <c r="B38" s="83"/>
      <c r="C38" s="83"/>
      <c r="E38" s="84"/>
      <c r="F38" s="85"/>
      <c r="G38" s="85"/>
      <c r="H38" s="86"/>
    </row>
    <row r="39" spans="1:9" ht="30" customHeight="1" x14ac:dyDescent="0.25">
      <c r="B39" s="83"/>
      <c r="C39" s="83"/>
      <c r="E39" s="84"/>
      <c r="F39" s="85"/>
      <c r="G39" s="85"/>
      <c r="H39" s="86"/>
    </row>
    <row r="40" spans="1:9" ht="30" customHeight="1" x14ac:dyDescent="0.25">
      <c r="B40" s="83"/>
      <c r="C40" s="83"/>
      <c r="E40" s="84"/>
      <c r="F40" s="85"/>
      <c r="G40" s="85"/>
      <c r="H40" s="86"/>
    </row>
    <row r="41" spans="1:9" ht="30" customHeight="1" x14ac:dyDescent="0.2">
      <c r="B41" s="83"/>
      <c r="C41" s="88"/>
      <c r="D41" s="292" t="s">
        <v>101</v>
      </c>
      <c r="E41" s="292"/>
      <c r="F41" s="292"/>
      <c r="G41" s="89"/>
      <c r="H41" s="90"/>
    </row>
    <row r="42" spans="1:9" ht="12.75" customHeight="1" x14ac:dyDescent="0.2"/>
    <row r="43" spans="1:9" ht="12.75" x14ac:dyDescent="0.2">
      <c r="A43" s="53"/>
      <c r="B43" s="124" t="s">
        <v>141</v>
      </c>
      <c r="C43" s="92"/>
      <c r="D43" s="92"/>
      <c r="E43" s="300" t="s">
        <v>103</v>
      </c>
      <c r="F43" s="300"/>
      <c r="G43" s="300"/>
      <c r="H43" s="300"/>
      <c r="I43" s="300"/>
    </row>
    <row r="44" spans="1:9" ht="14.25" customHeight="1" x14ac:dyDescent="0.2">
      <c r="A44" s="53"/>
      <c r="B44" s="94" t="s">
        <v>104</v>
      </c>
      <c r="C44" s="53"/>
      <c r="D44" s="53"/>
      <c r="E44" s="283">
        <f>H33</f>
        <v>88</v>
      </c>
      <c r="F44" s="283"/>
      <c r="G44" s="283"/>
      <c r="H44" s="283"/>
      <c r="I44" s="283"/>
    </row>
    <row r="45" spans="1:9" ht="14.25" x14ac:dyDescent="0.2">
      <c r="A45" s="53"/>
      <c r="B45" s="94" t="s">
        <v>106</v>
      </c>
      <c r="C45" s="53"/>
      <c r="D45" s="53"/>
      <c r="E45" s="283"/>
      <c r="F45" s="283"/>
      <c r="G45" s="283"/>
      <c r="H45" s="283"/>
      <c r="I45" s="283"/>
    </row>
    <row r="46" spans="1:9" ht="14.25" x14ac:dyDescent="0.2">
      <c r="A46" s="53"/>
      <c r="B46" s="94" t="s">
        <v>107</v>
      </c>
      <c r="C46" s="53"/>
      <c r="D46" s="53"/>
      <c r="E46" s="95"/>
      <c r="F46" s="95"/>
      <c r="G46" s="95"/>
      <c r="H46" s="95"/>
      <c r="I46" s="95"/>
    </row>
    <row r="47" spans="1:9" ht="13.5" x14ac:dyDescent="0.2">
      <c r="A47" s="53"/>
      <c r="B47" s="125" t="s">
        <v>142</v>
      </c>
      <c r="C47" s="96"/>
      <c r="D47" s="96"/>
      <c r="E47" s="97"/>
      <c r="F47" s="97"/>
      <c r="G47" s="97"/>
      <c r="H47" s="97"/>
      <c r="I47" s="95"/>
    </row>
    <row r="48" spans="1:9" ht="53.25" customHeight="1" x14ac:dyDescent="0.2">
      <c r="B48" s="284"/>
      <c r="C48" s="278"/>
      <c r="D48" s="278"/>
      <c r="E48" s="278"/>
      <c r="F48" s="278"/>
      <c r="G48" s="278"/>
      <c r="H48" s="278"/>
    </row>
    <row r="52" spans="6:7" ht="15.75" customHeight="1" x14ac:dyDescent="0.2">
      <c r="F52" s="62"/>
      <c r="G52" s="62"/>
    </row>
    <row r="53" spans="6:7" ht="15.75" customHeight="1" x14ac:dyDescent="0.2">
      <c r="F53" s="62"/>
      <c r="G53" s="62"/>
    </row>
    <row r="54" spans="6:7" ht="15.75" customHeight="1" x14ac:dyDescent="0.2">
      <c r="F54" s="62"/>
      <c r="G54" s="62"/>
    </row>
    <row r="57" spans="6:7" ht="15.75" customHeight="1" x14ac:dyDescent="0.2">
      <c r="F57" s="62"/>
      <c r="G57" s="62"/>
    </row>
    <row r="59" spans="6:7" ht="15.75" customHeight="1" x14ac:dyDescent="0.2">
      <c r="F59" s="62"/>
      <c r="G59" s="62"/>
    </row>
  </sheetData>
  <mergeCells count="21">
    <mergeCell ref="E43:I43"/>
    <mergeCell ref="E44:I45"/>
    <mergeCell ref="B48:H48"/>
    <mergeCell ref="C28:D28"/>
    <mergeCell ref="C29:D29"/>
    <mergeCell ref="C30:D30"/>
    <mergeCell ref="C32:D32"/>
    <mergeCell ref="C33:D33"/>
    <mergeCell ref="D41:F41"/>
    <mergeCell ref="C27:D27"/>
    <mergeCell ref="E3:H3"/>
    <mergeCell ref="B4:D6"/>
    <mergeCell ref="E4:H4"/>
    <mergeCell ref="E5:H5"/>
    <mergeCell ref="E6:H6"/>
    <mergeCell ref="B9:H9"/>
    <mergeCell ref="B18:E18"/>
    <mergeCell ref="B19:E19"/>
    <mergeCell ref="B20:E20"/>
    <mergeCell ref="B23:E23"/>
    <mergeCell ref="B24:H24"/>
  </mergeCells>
  <conditionalFormatting sqref="B26">
    <cfRule type="notContainsBlanks" dxfId="20" priority="1">
      <formula>LEN(TRIM(B26))&gt;0</formula>
    </cfRule>
  </conditionalFormatting>
  <hyperlinks>
    <hyperlink ref="B12" r:id="rId1" xr:uid="{2306906A-CFA2-4BD1-ADCF-71FD9F0CFA5B}"/>
  </hyperlinks>
  <pageMargins left="0.28999999999999998" right="0.19" top="0.6" bottom="0.5" header="0.31496062000000002" footer="0.31496062000000002"/>
  <pageSetup paperSize="9" scale="78" orientation="portrait" r:id="rId2"/>
  <drawing r:id="rId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DE073B-D9C8-416A-94A3-40A9577B56EB}">
  <sheetPr codeName="Sheet41">
    <tabColor theme="7" tint="0.59999389629810485"/>
    <outlinePr summaryBelow="0" summaryRight="0"/>
    <pageSetUpPr fitToPage="1"/>
  </sheetPr>
  <dimension ref="A1:M59"/>
  <sheetViews>
    <sheetView showGridLines="0" topLeftCell="A2" zoomScale="120" zoomScaleNormal="120" workbookViewId="0">
      <selection activeCell="H11" sqref="H11"/>
    </sheetView>
  </sheetViews>
  <sheetFormatPr defaultColWidth="14.42578125" defaultRowHeight="15.75" customHeight="1" x14ac:dyDescent="0.2"/>
  <cols>
    <col min="1" max="1" width="3.42578125" style="55" customWidth="1"/>
    <col min="2" max="3" width="14.42578125" style="55"/>
    <col min="4" max="4" width="26.7109375" style="55" customWidth="1"/>
    <col min="5" max="5" width="18.140625" style="55" bestFit="1" customWidth="1"/>
    <col min="6" max="6" width="16.42578125" style="55" customWidth="1"/>
    <col min="7" max="7" width="12.7109375" style="55" customWidth="1"/>
    <col min="8" max="8" width="17.42578125" style="55" customWidth="1"/>
    <col min="9" max="9" width="3.42578125" style="55" customWidth="1"/>
    <col min="10" max="16384" width="14.42578125" style="55"/>
  </cols>
  <sheetData>
    <row r="1" spans="1:10" ht="39" customHeight="1" x14ac:dyDescent="0.2">
      <c r="A1" s="53"/>
      <c r="B1" s="54"/>
      <c r="C1" s="54"/>
      <c r="D1" s="54"/>
      <c r="E1" s="54"/>
      <c r="F1" s="54"/>
      <c r="G1" s="54"/>
      <c r="H1" s="54"/>
      <c r="I1" s="54"/>
    </row>
    <row r="2" spans="1:10" x14ac:dyDescent="0.25">
      <c r="A2" s="53"/>
      <c r="B2" s="56"/>
      <c r="C2" s="56"/>
      <c r="D2" s="56"/>
      <c r="E2" s="57"/>
      <c r="F2" s="57"/>
      <c r="G2" s="57"/>
      <c r="H2" s="57"/>
      <c r="I2" s="56"/>
    </row>
    <row r="3" spans="1:10" ht="12.75" x14ac:dyDescent="0.2">
      <c r="A3" s="53"/>
      <c r="B3" s="56"/>
      <c r="C3" s="56"/>
      <c r="D3" s="56"/>
      <c r="E3" s="273"/>
      <c r="F3" s="274"/>
      <c r="G3" s="274"/>
      <c r="H3" s="274"/>
      <c r="I3" s="56"/>
    </row>
    <row r="4" spans="1:10" ht="12.75" x14ac:dyDescent="0.2">
      <c r="A4" s="53"/>
      <c r="B4" s="275" t="s">
        <v>83</v>
      </c>
      <c r="C4" s="276"/>
      <c r="D4" s="276"/>
      <c r="E4" s="277"/>
      <c r="F4" s="274"/>
      <c r="G4" s="274"/>
      <c r="H4" s="274"/>
      <c r="I4" s="56"/>
    </row>
    <row r="5" spans="1:10" ht="12.75" x14ac:dyDescent="0.2">
      <c r="A5" s="53"/>
      <c r="B5" s="276"/>
      <c r="C5" s="276"/>
      <c r="D5" s="276"/>
      <c r="E5" s="277"/>
      <c r="F5" s="274"/>
      <c r="G5" s="274"/>
      <c r="H5" s="274"/>
      <c r="I5" s="56"/>
    </row>
    <row r="6" spans="1:10" ht="12.75" x14ac:dyDescent="0.2">
      <c r="A6" s="53"/>
      <c r="B6" s="276"/>
      <c r="C6" s="276"/>
      <c r="D6" s="276"/>
      <c r="E6" s="277"/>
      <c r="F6" s="274"/>
      <c r="G6" s="274"/>
      <c r="H6" s="274"/>
      <c r="I6" s="56"/>
    </row>
    <row r="7" spans="1:10" ht="36.75" customHeight="1" x14ac:dyDescent="0.2">
      <c r="A7" s="53"/>
      <c r="B7" s="54"/>
      <c r="C7" s="54"/>
      <c r="D7" s="54"/>
      <c r="E7" s="54"/>
      <c r="F7" s="54"/>
      <c r="G7" s="54"/>
      <c r="H7" s="54"/>
      <c r="I7" s="54"/>
    </row>
    <row r="8" spans="1:10" ht="21.75" customHeight="1" x14ac:dyDescent="0.2">
      <c r="B8" s="58"/>
      <c r="C8" s="58"/>
      <c r="D8" s="58"/>
      <c r="E8" s="58"/>
      <c r="F8" s="58"/>
      <c r="G8" s="58"/>
      <c r="H8" s="58"/>
      <c r="I8" s="58"/>
      <c r="J8" s="59"/>
    </row>
    <row r="9" spans="1:10" ht="15.75" customHeight="1" x14ac:dyDescent="0.2">
      <c r="B9" s="278"/>
      <c r="C9" s="278"/>
      <c r="D9" s="278"/>
      <c r="E9" s="278"/>
      <c r="F9" s="278"/>
      <c r="G9" s="278"/>
      <c r="H9" s="278"/>
    </row>
    <row r="10" spans="1:10" ht="15" customHeight="1" x14ac:dyDescent="0.2">
      <c r="B10" s="60" t="s">
        <v>84</v>
      </c>
      <c r="G10" s="60"/>
      <c r="H10" s="61" t="s">
        <v>85</v>
      </c>
    </row>
    <row r="11" spans="1:10" ht="14.25" x14ac:dyDescent="0.2">
      <c r="B11" s="62" t="s">
        <v>86</v>
      </c>
      <c r="G11" s="62"/>
      <c r="H11" s="63" t="str">
        <f>"RM"&amp;J11</f>
        <v>RM1003</v>
      </c>
      <c r="J11" s="55">
        <v>1003</v>
      </c>
    </row>
    <row r="12" spans="1:10" ht="15" x14ac:dyDescent="0.2">
      <c r="B12" s="62" t="s">
        <v>87</v>
      </c>
      <c r="G12" s="60"/>
      <c r="H12" s="61" t="s">
        <v>88</v>
      </c>
      <c r="J12" s="55">
        <v>6</v>
      </c>
    </row>
    <row r="13" spans="1:10" ht="14.25" x14ac:dyDescent="0.2">
      <c r="B13" s="62"/>
      <c r="G13" s="64"/>
      <c r="H13" s="65">
        <v>44952</v>
      </c>
    </row>
    <row r="14" spans="1:10" ht="15" x14ac:dyDescent="0.2">
      <c r="G14" s="60"/>
      <c r="H14" s="61" t="s">
        <v>89</v>
      </c>
    </row>
    <row r="15" spans="1:10" ht="14.25" x14ac:dyDescent="0.2">
      <c r="G15" s="64"/>
      <c r="H15" s="65">
        <f>H13+J12</f>
        <v>44958</v>
      </c>
    </row>
    <row r="16" spans="1:10" ht="14.25" x14ac:dyDescent="0.2">
      <c r="B16" s="62"/>
      <c r="F16" s="65"/>
      <c r="G16" s="65"/>
      <c r="H16" s="65"/>
    </row>
    <row r="17" spans="2:13" ht="14.25" x14ac:dyDescent="0.2">
      <c r="F17" s="65"/>
      <c r="G17" s="65"/>
      <c r="H17" s="66"/>
    </row>
    <row r="18" spans="2:13" ht="22.5" customHeight="1" x14ac:dyDescent="0.2">
      <c r="B18" s="279" t="s">
        <v>90</v>
      </c>
      <c r="C18" s="280"/>
      <c r="D18" s="280"/>
      <c r="E18" s="280"/>
      <c r="F18" s="65"/>
      <c r="G18" s="65"/>
      <c r="H18" s="66"/>
    </row>
    <row r="19" spans="2:13" ht="15" x14ac:dyDescent="0.2">
      <c r="B19" s="279" t="s">
        <v>215</v>
      </c>
      <c r="C19" s="280"/>
      <c r="D19" s="280"/>
      <c r="E19" s="280"/>
      <c r="F19" s="65"/>
      <c r="G19" s="65"/>
      <c r="H19" s="66"/>
    </row>
    <row r="20" spans="2:13" ht="14.25" x14ac:dyDescent="0.2">
      <c r="B20" s="281" t="s">
        <v>216</v>
      </c>
      <c r="C20" s="280"/>
      <c r="D20" s="280"/>
      <c r="E20" s="280"/>
      <c r="F20" s="65"/>
      <c r="G20" s="65"/>
      <c r="H20" s="66"/>
    </row>
    <row r="21" spans="2:13" ht="14.25" x14ac:dyDescent="0.2">
      <c r="B21" s="62"/>
      <c r="C21" s="67"/>
      <c r="D21" s="67"/>
      <c r="E21" s="67"/>
      <c r="F21" s="65"/>
      <c r="G21" s="65"/>
      <c r="H21" s="66"/>
    </row>
    <row r="22" spans="2:13" ht="14.25" x14ac:dyDescent="0.2">
      <c r="B22" s="62"/>
      <c r="C22" s="67"/>
      <c r="D22" s="67"/>
      <c r="E22" s="67"/>
      <c r="F22" s="65"/>
      <c r="G22" s="65"/>
      <c r="H22" s="66"/>
    </row>
    <row r="23" spans="2:13" ht="22.5" customHeight="1" x14ac:dyDescent="0.2">
      <c r="B23" s="282"/>
      <c r="C23" s="280"/>
      <c r="D23" s="280"/>
      <c r="E23" s="280"/>
      <c r="F23" s="67"/>
      <c r="G23" s="67"/>
      <c r="H23" s="67"/>
    </row>
    <row r="24" spans="2:13" ht="27.75" customHeight="1" x14ac:dyDescent="0.2">
      <c r="B24" s="280"/>
      <c r="C24" s="280"/>
      <c r="D24" s="280"/>
      <c r="E24" s="280"/>
      <c r="F24" s="280"/>
      <c r="G24" s="280"/>
      <c r="H24" s="280"/>
    </row>
    <row r="25" spans="2:13" ht="27.75" customHeight="1" x14ac:dyDescent="0.2">
      <c r="B25" s="67"/>
      <c r="C25" s="67"/>
      <c r="D25" s="67"/>
      <c r="E25" s="67"/>
      <c r="F25" s="67"/>
      <c r="G25" s="67"/>
      <c r="H25" s="67"/>
    </row>
    <row r="26" spans="2:13" ht="15.75" customHeight="1" x14ac:dyDescent="0.2">
      <c r="B26" s="67"/>
      <c r="C26" s="67"/>
      <c r="D26" s="67"/>
      <c r="E26" s="67"/>
      <c r="F26" s="67"/>
      <c r="G26" s="67"/>
      <c r="H26" s="67"/>
    </row>
    <row r="27" spans="2:13" ht="15" x14ac:dyDescent="0.25">
      <c r="B27" s="68" t="s">
        <v>88</v>
      </c>
      <c r="C27" s="272" t="s">
        <v>92</v>
      </c>
      <c r="D27" s="272"/>
      <c r="E27" s="69" t="s">
        <v>139</v>
      </c>
      <c r="F27" s="69" t="s">
        <v>94</v>
      </c>
      <c r="G27" s="70" t="s">
        <v>18</v>
      </c>
      <c r="H27" s="69" t="s">
        <v>121</v>
      </c>
    </row>
    <row r="28" spans="2:13" ht="25.5" customHeight="1" x14ac:dyDescent="0.2">
      <c r="B28" s="71">
        <v>44951</v>
      </c>
      <c r="C28" s="290" t="s">
        <v>140</v>
      </c>
      <c r="D28" s="280"/>
      <c r="E28" s="73">
        <v>38</v>
      </c>
      <c r="F28" s="74">
        <v>4</v>
      </c>
      <c r="G28" s="75">
        <v>0.1</v>
      </c>
      <c r="H28" s="73">
        <f>E28*F28</f>
        <v>152</v>
      </c>
    </row>
    <row r="29" spans="2:13" ht="14.25" x14ac:dyDescent="0.2">
      <c r="B29" s="76"/>
      <c r="C29" s="286"/>
      <c r="D29" s="287"/>
      <c r="E29" s="77"/>
      <c r="F29" s="78"/>
      <c r="G29" s="78"/>
      <c r="H29" s="77"/>
      <c r="M29" s="123"/>
    </row>
    <row r="30" spans="2:13" ht="30" customHeight="1" x14ac:dyDescent="0.2">
      <c r="B30" s="72"/>
      <c r="C30" s="290"/>
      <c r="D30" s="280"/>
      <c r="E30" s="63"/>
      <c r="F30" s="79" t="s">
        <v>97</v>
      </c>
      <c r="G30" s="79"/>
      <c r="H30" s="80">
        <f>SUM(H28:H29)</f>
        <v>152</v>
      </c>
    </row>
    <row r="31" spans="2:13" ht="30" customHeight="1" x14ac:dyDescent="0.2">
      <c r="B31" s="72"/>
      <c r="C31" s="72"/>
      <c r="D31" s="67"/>
      <c r="E31" s="63"/>
      <c r="F31" s="79" t="s">
        <v>98</v>
      </c>
      <c r="G31" s="79"/>
      <c r="H31" s="80">
        <f>H30*0.1</f>
        <v>15.200000000000001</v>
      </c>
    </row>
    <row r="32" spans="2:13" ht="30" customHeight="1" x14ac:dyDescent="0.2">
      <c r="B32" s="72"/>
      <c r="C32" s="290"/>
      <c r="D32" s="280"/>
      <c r="E32" s="63"/>
      <c r="F32" s="81" t="s">
        <v>99</v>
      </c>
      <c r="G32" s="81"/>
      <c r="H32" s="82">
        <v>0</v>
      </c>
    </row>
    <row r="33" spans="1:9" ht="30" customHeight="1" x14ac:dyDescent="0.25">
      <c r="B33" s="83"/>
      <c r="C33" s="291"/>
      <c r="D33" s="278"/>
      <c r="E33" s="84"/>
      <c r="F33" s="85" t="s">
        <v>100</v>
      </c>
      <c r="G33" s="85"/>
      <c r="H33" s="86">
        <f>SUM(H30:H32)</f>
        <v>167.2</v>
      </c>
    </row>
    <row r="34" spans="1:9" ht="30" customHeight="1" x14ac:dyDescent="0.25">
      <c r="B34" s="83"/>
      <c r="C34" s="83"/>
      <c r="E34" s="84"/>
      <c r="F34" s="85"/>
      <c r="G34" s="85"/>
      <c r="H34" s="87"/>
    </row>
    <row r="35" spans="1:9" ht="30" customHeight="1" x14ac:dyDescent="0.25">
      <c r="B35" s="83"/>
      <c r="C35" s="83"/>
      <c r="E35" s="84"/>
      <c r="F35" s="85"/>
      <c r="G35" s="85"/>
      <c r="H35" s="86"/>
    </row>
    <row r="36" spans="1:9" ht="30" customHeight="1" x14ac:dyDescent="0.25">
      <c r="B36" s="83"/>
      <c r="C36" s="83"/>
      <c r="E36" s="84"/>
      <c r="F36" s="85"/>
      <c r="G36" s="85"/>
      <c r="H36" s="86"/>
    </row>
    <row r="37" spans="1:9" ht="30" customHeight="1" x14ac:dyDescent="0.25">
      <c r="B37" s="83"/>
      <c r="C37" s="83"/>
      <c r="E37" s="84"/>
      <c r="F37" s="85"/>
      <c r="G37" s="85"/>
      <c r="H37" s="86"/>
    </row>
    <row r="38" spans="1:9" ht="30" customHeight="1" x14ac:dyDescent="0.25">
      <c r="B38" s="83"/>
      <c r="C38" s="83"/>
      <c r="E38" s="84"/>
      <c r="F38" s="85"/>
      <c r="G38" s="85"/>
      <c r="H38" s="86"/>
    </row>
    <row r="39" spans="1:9" ht="30" customHeight="1" x14ac:dyDescent="0.25">
      <c r="B39" s="83"/>
      <c r="C39" s="83"/>
      <c r="E39" s="84"/>
      <c r="F39" s="85"/>
      <c r="G39" s="85"/>
      <c r="H39" s="86"/>
    </row>
    <row r="40" spans="1:9" ht="30" customHeight="1" x14ac:dyDescent="0.25">
      <c r="B40" s="83"/>
      <c r="C40" s="83"/>
      <c r="E40" s="84"/>
      <c r="F40" s="85"/>
      <c r="G40" s="85"/>
      <c r="H40" s="86"/>
    </row>
    <row r="41" spans="1:9" ht="30" customHeight="1" x14ac:dyDescent="0.2">
      <c r="B41" s="83"/>
      <c r="C41" s="88"/>
      <c r="D41" s="292" t="s">
        <v>101</v>
      </c>
      <c r="E41" s="292"/>
      <c r="F41" s="292"/>
      <c r="G41" s="89"/>
      <c r="H41" s="90"/>
    </row>
    <row r="42" spans="1:9" ht="12.75" customHeight="1" x14ac:dyDescent="0.2"/>
    <row r="43" spans="1:9" ht="12.75" x14ac:dyDescent="0.2">
      <c r="A43" s="53"/>
      <c r="B43" s="124" t="s">
        <v>141</v>
      </c>
      <c r="C43" s="92"/>
      <c r="D43" s="92"/>
      <c r="E43" s="300" t="s">
        <v>103</v>
      </c>
      <c r="F43" s="300"/>
      <c r="G43" s="300"/>
      <c r="H43" s="300"/>
      <c r="I43" s="300"/>
    </row>
    <row r="44" spans="1:9" ht="14.25" customHeight="1" x14ac:dyDescent="0.2">
      <c r="A44" s="53"/>
      <c r="B44" s="94" t="s">
        <v>104</v>
      </c>
      <c r="C44" s="53"/>
      <c r="D44" s="53"/>
      <c r="E44" s="283">
        <f>H33</f>
        <v>167.2</v>
      </c>
      <c r="F44" s="283"/>
      <c r="G44" s="283"/>
      <c r="H44" s="283"/>
      <c r="I44" s="283"/>
    </row>
    <row r="45" spans="1:9" ht="14.25" x14ac:dyDescent="0.2">
      <c r="A45" s="53"/>
      <c r="B45" s="94" t="s">
        <v>106</v>
      </c>
      <c r="C45" s="53"/>
      <c r="D45" s="53"/>
      <c r="E45" s="283"/>
      <c r="F45" s="283"/>
      <c r="G45" s="283"/>
      <c r="H45" s="283"/>
      <c r="I45" s="283"/>
    </row>
    <row r="46" spans="1:9" ht="14.25" x14ac:dyDescent="0.2">
      <c r="A46" s="53"/>
      <c r="B46" s="94" t="s">
        <v>107</v>
      </c>
      <c r="C46" s="53"/>
      <c r="D46" s="53"/>
      <c r="E46" s="95"/>
      <c r="F46" s="95"/>
      <c r="G46" s="95"/>
      <c r="H46" s="95"/>
      <c r="I46" s="95"/>
    </row>
    <row r="47" spans="1:9" ht="13.5" x14ac:dyDescent="0.2">
      <c r="A47" s="53"/>
      <c r="B47" s="125" t="s">
        <v>217</v>
      </c>
      <c r="C47" s="96"/>
      <c r="D47" s="96"/>
      <c r="E47" s="97"/>
      <c r="F47" s="97"/>
      <c r="G47" s="97"/>
      <c r="H47" s="97"/>
      <c r="I47" s="95"/>
    </row>
    <row r="48" spans="1:9" ht="53.25" customHeight="1" x14ac:dyDescent="0.2">
      <c r="B48" s="284"/>
      <c r="C48" s="278"/>
      <c r="D48" s="278"/>
      <c r="E48" s="278"/>
      <c r="F48" s="278"/>
      <c r="G48" s="278"/>
      <c r="H48" s="278"/>
    </row>
    <row r="52" spans="6:7" ht="15.75" customHeight="1" x14ac:dyDescent="0.2">
      <c r="F52" s="62"/>
      <c r="G52" s="62"/>
    </row>
    <row r="53" spans="6:7" ht="15.75" customHeight="1" x14ac:dyDescent="0.2">
      <c r="F53" s="62"/>
      <c r="G53" s="62"/>
    </row>
    <row r="54" spans="6:7" ht="15.75" customHeight="1" x14ac:dyDescent="0.2">
      <c r="F54" s="62"/>
      <c r="G54" s="62"/>
    </row>
    <row r="57" spans="6:7" ht="15.75" customHeight="1" x14ac:dyDescent="0.2">
      <c r="F57" s="62"/>
      <c r="G57" s="62"/>
    </row>
    <row r="59" spans="6:7" ht="15.75" customHeight="1" x14ac:dyDescent="0.2">
      <c r="F59" s="62"/>
      <c r="G59" s="62"/>
    </row>
  </sheetData>
  <mergeCells count="21">
    <mergeCell ref="E43:I43"/>
    <mergeCell ref="E44:I45"/>
    <mergeCell ref="B48:H48"/>
    <mergeCell ref="C28:D28"/>
    <mergeCell ref="C29:D29"/>
    <mergeCell ref="C30:D30"/>
    <mergeCell ref="C32:D32"/>
    <mergeCell ref="C33:D33"/>
    <mergeCell ref="D41:F41"/>
    <mergeCell ref="C27:D27"/>
    <mergeCell ref="E3:H3"/>
    <mergeCell ref="B4:D6"/>
    <mergeCell ref="E4:H4"/>
    <mergeCell ref="E5:H5"/>
    <mergeCell ref="E6:H6"/>
    <mergeCell ref="B9:H9"/>
    <mergeCell ref="B18:E18"/>
    <mergeCell ref="B19:E19"/>
    <mergeCell ref="B20:E20"/>
    <mergeCell ref="B23:E23"/>
    <mergeCell ref="B24:H24"/>
  </mergeCells>
  <conditionalFormatting sqref="B26">
    <cfRule type="notContainsBlanks" dxfId="19" priority="1">
      <formula>LEN(TRIM(B26))&gt;0</formula>
    </cfRule>
  </conditionalFormatting>
  <hyperlinks>
    <hyperlink ref="B12" r:id="rId1" xr:uid="{09734F3D-F806-485C-A62F-21E5DD6ED805}"/>
  </hyperlinks>
  <pageMargins left="0.28999999999999998" right="0.19" top="0.6" bottom="0.5" header="0.31496062000000002" footer="0.31496062000000002"/>
  <pageSetup paperSize="9" scale="78" orientation="portrait" r:id="rId2"/>
  <drawing r:id="rId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5327A3-EB08-4191-AB60-B522477BF509}">
  <sheetPr codeName="Sheet42">
    <tabColor theme="7" tint="0.59999389629810485"/>
    <outlinePr summaryBelow="0" summaryRight="0"/>
    <pageSetUpPr fitToPage="1"/>
  </sheetPr>
  <dimension ref="A1:J59"/>
  <sheetViews>
    <sheetView showGridLines="0" topLeftCell="A6" workbookViewId="0">
      <selection activeCell="H11" sqref="H11"/>
    </sheetView>
  </sheetViews>
  <sheetFormatPr defaultColWidth="14.42578125" defaultRowHeight="15.75" customHeight="1" x14ac:dyDescent="0.2"/>
  <cols>
    <col min="1" max="1" width="3.42578125" style="55" customWidth="1"/>
    <col min="2" max="3" width="14.42578125" style="55"/>
    <col min="4" max="4" width="26.7109375" style="55" customWidth="1"/>
    <col min="5" max="5" width="18.140625" style="55" bestFit="1" customWidth="1"/>
    <col min="6" max="6" width="16.42578125" style="55" customWidth="1"/>
    <col min="7" max="7" width="12.7109375" style="55" customWidth="1"/>
    <col min="8" max="8" width="17.42578125" style="55" customWidth="1"/>
    <col min="9" max="9" width="3.42578125" style="55" customWidth="1"/>
    <col min="10" max="16384" width="14.42578125" style="55"/>
  </cols>
  <sheetData>
    <row r="1" spans="1:10" ht="39" customHeight="1" x14ac:dyDescent="0.2">
      <c r="A1" s="53"/>
      <c r="B1" s="54"/>
      <c r="C1" s="54"/>
      <c r="D1" s="54"/>
      <c r="E1" s="54"/>
      <c r="F1" s="54"/>
      <c r="G1" s="54"/>
      <c r="H1" s="54"/>
      <c r="I1" s="54"/>
    </row>
    <row r="2" spans="1:10" x14ac:dyDescent="0.25">
      <c r="A2" s="53"/>
      <c r="B2" s="56"/>
      <c r="C2" s="56"/>
      <c r="D2" s="56"/>
      <c r="E2" s="57"/>
      <c r="F2" s="57"/>
      <c r="G2" s="57"/>
      <c r="H2" s="57"/>
      <c r="I2" s="56"/>
    </row>
    <row r="3" spans="1:10" ht="12.75" x14ac:dyDescent="0.2">
      <c r="A3" s="53"/>
      <c r="B3" s="56"/>
      <c r="C3" s="56"/>
      <c r="D3" s="56"/>
      <c r="E3" s="273"/>
      <c r="F3" s="274"/>
      <c r="G3" s="274"/>
      <c r="H3" s="274"/>
      <c r="I3" s="56"/>
    </row>
    <row r="4" spans="1:10" ht="12.75" x14ac:dyDescent="0.2">
      <c r="A4" s="53"/>
      <c r="B4" s="275" t="s">
        <v>83</v>
      </c>
      <c r="C4" s="276"/>
      <c r="D4" s="276"/>
      <c r="E4" s="277"/>
      <c r="F4" s="274"/>
      <c r="G4" s="274"/>
      <c r="H4" s="274"/>
      <c r="I4" s="56"/>
    </row>
    <row r="5" spans="1:10" ht="12.75" x14ac:dyDescent="0.2">
      <c r="A5" s="53"/>
      <c r="B5" s="276"/>
      <c r="C5" s="276"/>
      <c r="D5" s="276"/>
      <c r="E5" s="277"/>
      <c r="F5" s="274"/>
      <c r="G5" s="274"/>
      <c r="H5" s="274"/>
      <c r="I5" s="56"/>
    </row>
    <row r="6" spans="1:10" ht="12.75" x14ac:dyDescent="0.2">
      <c r="A6" s="53"/>
      <c r="B6" s="276"/>
      <c r="C6" s="276"/>
      <c r="D6" s="276"/>
      <c r="E6" s="277"/>
      <c r="F6" s="274"/>
      <c r="G6" s="274"/>
      <c r="H6" s="274"/>
      <c r="I6" s="56"/>
    </row>
    <row r="7" spans="1:10" ht="36.75" customHeight="1" x14ac:dyDescent="0.2">
      <c r="A7" s="53"/>
      <c r="B7" s="54"/>
      <c r="C7" s="54"/>
      <c r="D7" s="54"/>
      <c r="E7" s="54"/>
      <c r="F7" s="54"/>
      <c r="G7" s="54"/>
      <c r="H7" s="54"/>
      <c r="I7" s="54"/>
    </row>
    <row r="8" spans="1:10" ht="21.75" customHeight="1" x14ac:dyDescent="0.2">
      <c r="B8" s="58"/>
      <c r="C8" s="58"/>
      <c r="D8" s="58"/>
      <c r="E8" s="58"/>
      <c r="F8" s="58"/>
      <c r="G8" s="58"/>
      <c r="H8" s="58"/>
      <c r="I8" s="58"/>
      <c r="J8" s="59"/>
    </row>
    <row r="9" spans="1:10" ht="15.75" customHeight="1" x14ac:dyDescent="0.2">
      <c r="B9" s="278"/>
      <c r="C9" s="278"/>
      <c r="D9" s="278"/>
      <c r="E9" s="278"/>
      <c r="F9" s="278"/>
      <c r="G9" s="278"/>
      <c r="H9" s="278"/>
    </row>
    <row r="10" spans="1:10" ht="15" customHeight="1" x14ac:dyDescent="0.2">
      <c r="B10" s="60" t="s">
        <v>84</v>
      </c>
      <c r="G10" s="60"/>
      <c r="H10" s="61" t="s">
        <v>85</v>
      </c>
    </row>
    <row r="11" spans="1:10" ht="14.25" x14ac:dyDescent="0.2">
      <c r="B11" s="62" t="s">
        <v>86</v>
      </c>
      <c r="G11" s="62"/>
      <c r="H11" s="63" t="str">
        <f>"RF"&amp;J11</f>
        <v>RF8</v>
      </c>
      <c r="J11" s="55">
        <v>8</v>
      </c>
    </row>
    <row r="12" spans="1:10" ht="15" x14ac:dyDescent="0.2">
      <c r="B12" s="62" t="s">
        <v>87</v>
      </c>
      <c r="G12" s="60"/>
      <c r="H12" s="61" t="s">
        <v>88</v>
      </c>
      <c r="J12" s="55">
        <v>5</v>
      </c>
    </row>
    <row r="13" spans="1:10" ht="14.25" x14ac:dyDescent="0.2">
      <c r="B13" s="62"/>
      <c r="G13" s="64"/>
      <c r="H13" s="65">
        <v>44954</v>
      </c>
    </row>
    <row r="14" spans="1:10" ht="15" x14ac:dyDescent="0.2">
      <c r="G14" s="60"/>
      <c r="H14" s="61" t="s">
        <v>89</v>
      </c>
    </row>
    <row r="15" spans="1:10" ht="14.25" x14ac:dyDescent="0.2">
      <c r="G15" s="64"/>
      <c r="H15" s="65">
        <f>H13+J12</f>
        <v>44959</v>
      </c>
    </row>
    <row r="16" spans="1:10" ht="14.25" x14ac:dyDescent="0.2">
      <c r="B16" s="62"/>
      <c r="F16" s="65"/>
      <c r="G16" s="65"/>
      <c r="H16" s="65"/>
    </row>
    <row r="17" spans="2:8" ht="14.25" x14ac:dyDescent="0.2">
      <c r="F17" s="65"/>
      <c r="G17" s="65"/>
      <c r="H17" s="66"/>
    </row>
    <row r="18" spans="2:8" ht="22.5" customHeight="1" x14ac:dyDescent="0.2">
      <c r="B18" s="279" t="s">
        <v>90</v>
      </c>
      <c r="C18" s="280"/>
      <c r="D18" s="280"/>
      <c r="E18" s="280"/>
      <c r="F18" s="65"/>
      <c r="G18" s="65"/>
      <c r="H18" s="66"/>
    </row>
    <row r="19" spans="2:8" ht="15" x14ac:dyDescent="0.2">
      <c r="B19" s="279" t="s">
        <v>218</v>
      </c>
      <c r="C19" s="280"/>
      <c r="D19" s="280"/>
      <c r="E19" s="280"/>
      <c r="F19" s="65"/>
      <c r="G19" s="65"/>
      <c r="H19" s="66"/>
    </row>
    <row r="20" spans="2:8" ht="14.25" x14ac:dyDescent="0.2">
      <c r="B20" s="282" t="s">
        <v>219</v>
      </c>
      <c r="C20" s="280"/>
      <c r="D20" s="280"/>
      <c r="E20" s="280"/>
      <c r="F20" s="65"/>
      <c r="G20" s="65"/>
      <c r="H20" s="66"/>
    </row>
    <row r="21" spans="2:8" ht="14.25" x14ac:dyDescent="0.2">
      <c r="B21" s="62"/>
      <c r="C21" s="67"/>
      <c r="D21" s="67"/>
      <c r="E21" s="67"/>
      <c r="F21" s="65"/>
      <c r="G21" s="65"/>
      <c r="H21" s="66"/>
    </row>
    <row r="22" spans="2:8" ht="14.25" x14ac:dyDescent="0.2">
      <c r="B22" s="62"/>
      <c r="C22" s="67"/>
      <c r="D22" s="67"/>
      <c r="E22" s="67"/>
      <c r="F22" s="65"/>
      <c r="G22" s="65"/>
      <c r="H22" s="66"/>
    </row>
    <row r="23" spans="2:8" ht="22.5" customHeight="1" x14ac:dyDescent="0.2">
      <c r="B23" s="282"/>
      <c r="C23" s="280"/>
      <c r="D23" s="280"/>
      <c r="E23" s="280"/>
      <c r="F23" s="67"/>
      <c r="G23" s="67"/>
      <c r="H23" s="67"/>
    </row>
    <row r="24" spans="2:8" ht="27.75" customHeight="1" x14ac:dyDescent="0.2">
      <c r="B24" s="280"/>
      <c r="C24" s="280"/>
      <c r="D24" s="280"/>
      <c r="E24" s="280"/>
      <c r="F24" s="280"/>
      <c r="G24" s="280"/>
      <c r="H24" s="280"/>
    </row>
    <row r="25" spans="2:8" ht="27.75" customHeight="1" x14ac:dyDescent="0.2">
      <c r="B25" s="67"/>
      <c r="C25" s="67"/>
      <c r="D25" s="67"/>
      <c r="E25" s="67"/>
      <c r="F25" s="67"/>
      <c r="G25" s="67"/>
      <c r="H25" s="67"/>
    </row>
    <row r="26" spans="2:8" ht="15.75" customHeight="1" x14ac:dyDescent="0.2">
      <c r="B26" s="67"/>
      <c r="C26" s="67"/>
      <c r="D26" s="67"/>
      <c r="E26" s="67"/>
      <c r="F26" s="67"/>
      <c r="G26" s="67"/>
      <c r="H26" s="67"/>
    </row>
    <row r="27" spans="2:8" ht="15" x14ac:dyDescent="0.25">
      <c r="B27" s="68" t="s">
        <v>88</v>
      </c>
      <c r="C27" s="272" t="s">
        <v>92</v>
      </c>
      <c r="D27" s="272"/>
      <c r="E27" s="70" t="s">
        <v>93</v>
      </c>
      <c r="F27" s="70" t="s">
        <v>94</v>
      </c>
      <c r="G27" s="70" t="s">
        <v>18</v>
      </c>
      <c r="H27" s="69" t="s">
        <v>167</v>
      </c>
    </row>
    <row r="28" spans="2:8" ht="32.25" customHeight="1" x14ac:dyDescent="0.2">
      <c r="B28" s="71">
        <v>44953</v>
      </c>
      <c r="C28" s="293" t="s">
        <v>168</v>
      </c>
      <c r="D28" s="294"/>
      <c r="E28" s="99">
        <v>40</v>
      </c>
      <c r="F28" s="108">
        <v>2</v>
      </c>
      <c r="G28" s="140">
        <v>0.1</v>
      </c>
      <c r="H28" s="73">
        <f>E28*F28</f>
        <v>80</v>
      </c>
    </row>
    <row r="29" spans="2:8" ht="30" customHeight="1" x14ac:dyDescent="0.2">
      <c r="B29" s="76"/>
      <c r="C29" s="286"/>
      <c r="D29" s="287"/>
      <c r="E29" s="77"/>
      <c r="F29" s="78"/>
      <c r="G29" s="78"/>
      <c r="H29" s="77"/>
    </row>
    <row r="30" spans="2:8" ht="30" customHeight="1" x14ac:dyDescent="0.2">
      <c r="B30" s="72"/>
      <c r="C30" s="290"/>
      <c r="D30" s="280"/>
      <c r="E30" s="63"/>
      <c r="F30" s="79" t="s">
        <v>97</v>
      </c>
      <c r="G30" s="79"/>
      <c r="H30" s="80">
        <f>SUM(H28:H29)</f>
        <v>80</v>
      </c>
    </row>
    <row r="31" spans="2:8" ht="30" customHeight="1" x14ac:dyDescent="0.2">
      <c r="B31" s="72"/>
      <c r="C31" s="72"/>
      <c r="D31" s="67"/>
      <c r="E31" s="63"/>
      <c r="F31" s="79" t="s">
        <v>98</v>
      </c>
      <c r="G31" s="79"/>
      <c r="H31" s="80">
        <f>H30*0.1</f>
        <v>8</v>
      </c>
    </row>
    <row r="32" spans="2:8" ht="30" customHeight="1" x14ac:dyDescent="0.2">
      <c r="B32" s="72"/>
      <c r="C32" s="290"/>
      <c r="D32" s="280"/>
      <c r="E32" s="63"/>
      <c r="F32" s="81" t="s">
        <v>99</v>
      </c>
      <c r="G32" s="81"/>
      <c r="H32" s="82">
        <v>0</v>
      </c>
    </row>
    <row r="33" spans="1:9" ht="30" customHeight="1" x14ac:dyDescent="0.25">
      <c r="B33" s="83"/>
      <c r="C33" s="291"/>
      <c r="D33" s="278"/>
      <c r="E33" s="84"/>
      <c r="F33" s="85" t="s">
        <v>100</v>
      </c>
      <c r="G33" s="85"/>
      <c r="H33" s="86">
        <f>SUM(H30:H32)</f>
        <v>88</v>
      </c>
    </row>
    <row r="34" spans="1:9" ht="30" customHeight="1" x14ac:dyDescent="0.25">
      <c r="B34" s="83"/>
      <c r="C34" s="83"/>
      <c r="E34" s="84"/>
      <c r="F34" s="85"/>
      <c r="G34" s="85"/>
      <c r="H34" s="87"/>
    </row>
    <row r="35" spans="1:9" ht="30" customHeight="1" x14ac:dyDescent="0.25">
      <c r="B35" s="83"/>
      <c r="C35" s="83"/>
      <c r="E35" s="84"/>
      <c r="F35" s="85"/>
      <c r="G35" s="85"/>
      <c r="H35" s="86"/>
    </row>
    <row r="36" spans="1:9" ht="30" customHeight="1" x14ac:dyDescent="0.25">
      <c r="B36" s="83"/>
      <c r="C36" s="83"/>
      <c r="E36" s="84"/>
      <c r="F36" s="85"/>
      <c r="G36" s="85"/>
      <c r="H36" s="86"/>
    </row>
    <row r="37" spans="1:9" ht="30" customHeight="1" x14ac:dyDescent="0.25">
      <c r="B37" s="83"/>
      <c r="C37" s="83"/>
      <c r="E37" s="84"/>
      <c r="F37" s="85"/>
      <c r="G37" s="85"/>
      <c r="H37" s="86"/>
    </row>
    <row r="38" spans="1:9" ht="30" customHeight="1" x14ac:dyDescent="0.25">
      <c r="B38" s="83"/>
      <c r="C38" s="83"/>
      <c r="E38" s="84"/>
      <c r="F38" s="85"/>
      <c r="G38" s="85"/>
      <c r="H38" s="86"/>
    </row>
    <row r="39" spans="1:9" ht="30" customHeight="1" x14ac:dyDescent="0.25">
      <c r="B39" s="83"/>
      <c r="C39" s="83"/>
      <c r="E39" s="84"/>
      <c r="F39" s="85"/>
      <c r="G39" s="85"/>
      <c r="H39" s="86"/>
    </row>
    <row r="40" spans="1:9" ht="30" customHeight="1" x14ac:dyDescent="0.25">
      <c r="B40" s="83"/>
      <c r="C40" s="83"/>
      <c r="E40" s="84"/>
      <c r="F40" s="85"/>
      <c r="G40" s="85"/>
      <c r="H40" s="86"/>
    </row>
    <row r="41" spans="1:9" ht="30" customHeight="1" x14ac:dyDescent="0.2">
      <c r="B41" s="83"/>
      <c r="C41" s="88"/>
      <c r="D41" s="292" t="s">
        <v>101</v>
      </c>
      <c r="E41" s="292"/>
      <c r="F41" s="292"/>
      <c r="G41" s="89"/>
      <c r="H41" s="90"/>
    </row>
    <row r="42" spans="1:9" ht="12.75" customHeight="1" x14ac:dyDescent="0.2"/>
    <row r="43" spans="1:9" ht="12.75" x14ac:dyDescent="0.2">
      <c r="A43" s="53"/>
      <c r="B43" s="91" t="s">
        <v>102</v>
      </c>
      <c r="C43" s="92"/>
      <c r="D43" s="92"/>
      <c r="E43" s="300" t="s">
        <v>103</v>
      </c>
      <c r="F43" s="300"/>
      <c r="G43" s="300"/>
      <c r="H43" s="300"/>
      <c r="I43" s="300"/>
    </row>
    <row r="44" spans="1:9" ht="14.25" customHeight="1" x14ac:dyDescent="0.2">
      <c r="A44" s="53"/>
      <c r="B44" s="94" t="s">
        <v>104</v>
      </c>
      <c r="C44" s="53"/>
      <c r="D44" s="53"/>
      <c r="E44" s="283">
        <f>H33</f>
        <v>88</v>
      </c>
      <c r="F44" s="283"/>
      <c r="G44" s="283"/>
      <c r="H44" s="283"/>
      <c r="I44" s="283"/>
    </row>
    <row r="45" spans="1:9" ht="15.75" customHeight="1" x14ac:dyDescent="0.2">
      <c r="A45" s="53"/>
      <c r="B45" s="94" t="s">
        <v>105</v>
      </c>
      <c r="C45" s="53"/>
      <c r="D45" s="53"/>
      <c r="E45" s="283"/>
      <c r="F45" s="283"/>
      <c r="G45" s="283"/>
      <c r="H45" s="283"/>
      <c r="I45" s="283"/>
    </row>
    <row r="46" spans="1:9" ht="14.25" x14ac:dyDescent="0.2">
      <c r="A46" s="53"/>
      <c r="B46" s="94" t="s">
        <v>106</v>
      </c>
      <c r="C46" s="53"/>
      <c r="D46" s="53"/>
      <c r="E46" s="95"/>
      <c r="F46" s="95"/>
      <c r="G46" s="95"/>
      <c r="H46" s="95"/>
      <c r="I46" s="95"/>
    </row>
    <row r="47" spans="1:9" ht="14.25" x14ac:dyDescent="0.2">
      <c r="A47" s="53"/>
      <c r="B47" s="94" t="s">
        <v>107</v>
      </c>
      <c r="C47" s="96"/>
      <c r="D47" s="96"/>
      <c r="E47" s="97"/>
      <c r="F47" s="97"/>
      <c r="G47" s="97"/>
      <c r="H47" s="97"/>
      <c r="I47" s="95"/>
    </row>
    <row r="48" spans="1:9" ht="53.25" customHeight="1" x14ac:dyDescent="0.2">
      <c r="B48" s="284"/>
      <c r="C48" s="278"/>
      <c r="D48" s="278"/>
      <c r="E48" s="278"/>
      <c r="F48" s="278"/>
      <c r="G48" s="278"/>
      <c r="H48" s="278"/>
    </row>
    <row r="52" spans="6:7" ht="15.75" customHeight="1" x14ac:dyDescent="0.2">
      <c r="F52" s="62"/>
      <c r="G52" s="62"/>
    </row>
    <row r="53" spans="6:7" ht="15.75" customHeight="1" x14ac:dyDescent="0.2">
      <c r="F53" s="62"/>
      <c r="G53" s="62"/>
    </row>
    <row r="54" spans="6:7" ht="15.75" customHeight="1" x14ac:dyDescent="0.2">
      <c r="F54" s="62"/>
      <c r="G54" s="62"/>
    </row>
    <row r="57" spans="6:7" ht="15.75" customHeight="1" x14ac:dyDescent="0.2">
      <c r="F57" s="62"/>
      <c r="G57" s="62"/>
    </row>
    <row r="59" spans="6:7" ht="15.75" customHeight="1" x14ac:dyDescent="0.2">
      <c r="F59" s="62"/>
      <c r="G59" s="62"/>
    </row>
  </sheetData>
  <mergeCells count="21">
    <mergeCell ref="E43:I43"/>
    <mergeCell ref="E44:I45"/>
    <mergeCell ref="B48:H48"/>
    <mergeCell ref="C28:D28"/>
    <mergeCell ref="C29:D29"/>
    <mergeCell ref="C30:D30"/>
    <mergeCell ref="C32:D32"/>
    <mergeCell ref="C33:D33"/>
    <mergeCell ref="D41:F41"/>
    <mergeCell ref="C27:D27"/>
    <mergeCell ref="E3:H3"/>
    <mergeCell ref="B4:D6"/>
    <mergeCell ref="E4:H4"/>
    <mergeCell ref="E5:H5"/>
    <mergeCell ref="E6:H6"/>
    <mergeCell ref="B9:H9"/>
    <mergeCell ref="B18:E18"/>
    <mergeCell ref="B19:E19"/>
    <mergeCell ref="B20:E20"/>
    <mergeCell ref="B23:E23"/>
    <mergeCell ref="B24:H24"/>
  </mergeCells>
  <conditionalFormatting sqref="B26">
    <cfRule type="notContainsBlanks" dxfId="18" priority="1">
      <formula>LEN(TRIM(B26))&gt;0</formula>
    </cfRule>
  </conditionalFormatting>
  <hyperlinks>
    <hyperlink ref="B12" r:id="rId1" xr:uid="{8AD0740B-4D73-49F9-8A24-245D7C4D204B}"/>
  </hyperlinks>
  <printOptions horizontalCentered="1" verticalCentered="1"/>
  <pageMargins left="3.937007874015748E-2" right="3.937007874015748E-2" top="0.35433070866141736" bottom="0.27559055118110237" header="0.31496062992125984" footer="0.31496062992125984"/>
  <pageSetup paperSize="9" scale="82" orientation="portrait" r:id="rId2"/>
  <drawing r:id="rId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C2595E-949B-4CDF-B942-42F1409A9DB8}">
  <sheetPr codeName="Sheet43">
    <tabColor theme="8" tint="0.39997558519241921"/>
    <outlinePr summaryBelow="0" summaryRight="0"/>
    <pageSetUpPr fitToPage="1"/>
  </sheetPr>
  <dimension ref="A1:L67"/>
  <sheetViews>
    <sheetView showGridLines="0" topLeftCell="A3" zoomScale="130" zoomScaleNormal="130" workbookViewId="0">
      <selection activeCell="H11" sqref="H11"/>
    </sheetView>
  </sheetViews>
  <sheetFormatPr defaultColWidth="14.42578125" defaultRowHeight="15.75" customHeight="1" x14ac:dyDescent="0.2"/>
  <cols>
    <col min="1" max="1" width="3.140625" style="55" customWidth="1"/>
    <col min="2" max="3" width="14.42578125" style="55"/>
    <col min="4" max="4" width="26.7109375" style="55" customWidth="1"/>
    <col min="5" max="5" width="18.140625" style="55" bestFit="1" customWidth="1"/>
    <col min="6" max="6" width="16.42578125" style="55" customWidth="1"/>
    <col min="7" max="7" width="12.7109375" style="55" customWidth="1"/>
    <col min="8" max="8" width="17.42578125" style="55" customWidth="1"/>
    <col min="9" max="9" width="3.42578125" style="55" customWidth="1"/>
    <col min="10" max="16384" width="14.42578125" style="55"/>
  </cols>
  <sheetData>
    <row r="1" spans="1:11" ht="39" customHeight="1" x14ac:dyDescent="0.2">
      <c r="A1" s="53"/>
      <c r="B1" s="54"/>
      <c r="C1" s="54"/>
      <c r="D1" s="54"/>
      <c r="E1" s="54"/>
      <c r="F1" s="54"/>
      <c r="G1" s="54"/>
      <c r="H1" s="54"/>
      <c r="I1" s="54"/>
    </row>
    <row r="2" spans="1:11" x14ac:dyDescent="0.25">
      <c r="A2" s="53"/>
      <c r="B2" s="56"/>
      <c r="C2" s="56"/>
      <c r="D2" s="56"/>
      <c r="E2" s="57"/>
      <c r="F2" s="57"/>
      <c r="G2" s="57"/>
      <c r="H2" s="57"/>
      <c r="I2" s="56"/>
    </row>
    <row r="3" spans="1:11" ht="12.75" x14ac:dyDescent="0.2">
      <c r="A3" s="53"/>
      <c r="B3" s="56"/>
      <c r="C3" s="56"/>
      <c r="D3" s="56"/>
      <c r="E3" s="273"/>
      <c r="F3" s="274"/>
      <c r="G3" s="274"/>
      <c r="H3" s="274"/>
      <c r="I3" s="56"/>
    </row>
    <row r="4" spans="1:11" ht="12.75" x14ac:dyDescent="0.2">
      <c r="A4" s="53"/>
      <c r="B4" s="275" t="s">
        <v>83</v>
      </c>
      <c r="C4" s="276"/>
      <c r="D4" s="276"/>
      <c r="E4" s="277"/>
      <c r="F4" s="274"/>
      <c r="G4" s="274"/>
      <c r="H4" s="274"/>
      <c r="I4" s="56"/>
    </row>
    <row r="5" spans="1:11" ht="12.75" x14ac:dyDescent="0.2">
      <c r="A5" s="53"/>
      <c r="B5" s="276"/>
      <c r="C5" s="276"/>
      <c r="D5" s="276"/>
      <c r="E5" s="277"/>
      <c r="F5" s="274"/>
      <c r="G5" s="274"/>
      <c r="H5" s="274"/>
      <c r="I5" s="56"/>
      <c r="K5" s="153" t="s">
        <v>220</v>
      </c>
    </row>
    <row r="6" spans="1:11" ht="12.75" x14ac:dyDescent="0.2">
      <c r="A6" s="53"/>
      <c r="B6" s="276"/>
      <c r="C6" s="276"/>
      <c r="D6" s="276"/>
      <c r="E6" s="277"/>
      <c r="F6" s="274"/>
      <c r="G6" s="274"/>
      <c r="H6" s="274"/>
      <c r="I6" s="56"/>
      <c r="K6" s="116" t="s">
        <v>221</v>
      </c>
    </row>
    <row r="7" spans="1:11" ht="36.75" customHeight="1" x14ac:dyDescent="0.2">
      <c r="A7" s="53"/>
      <c r="B7" s="54"/>
      <c r="C7" s="54"/>
      <c r="D7" s="54"/>
      <c r="E7" s="54"/>
      <c r="F7" s="54"/>
      <c r="G7" s="54"/>
      <c r="H7" s="54"/>
      <c r="I7" s="54"/>
    </row>
    <row r="8" spans="1:11" ht="21.75" customHeight="1" x14ac:dyDescent="0.2">
      <c r="B8" s="58"/>
      <c r="C8" s="58"/>
      <c r="D8" s="58"/>
      <c r="E8" s="58"/>
      <c r="F8" s="58"/>
      <c r="G8" s="58"/>
      <c r="H8" s="58"/>
      <c r="I8" s="58"/>
      <c r="J8" s="59"/>
      <c r="K8" s="116"/>
    </row>
    <row r="9" spans="1:11" ht="15.75" customHeight="1" x14ac:dyDescent="0.2">
      <c r="B9" s="278"/>
      <c r="C9" s="278"/>
      <c r="D9" s="278"/>
      <c r="E9" s="278"/>
      <c r="F9" s="278"/>
      <c r="G9" s="278"/>
      <c r="H9" s="278"/>
    </row>
    <row r="10" spans="1:11" ht="15" customHeight="1" x14ac:dyDescent="0.2">
      <c r="B10" s="60" t="s">
        <v>84</v>
      </c>
      <c r="G10" s="60"/>
      <c r="H10" s="61" t="s">
        <v>85</v>
      </c>
    </row>
    <row r="11" spans="1:11" ht="14.25" x14ac:dyDescent="0.2">
      <c r="B11" s="62" t="s">
        <v>86</v>
      </c>
      <c r="G11" s="62"/>
      <c r="H11" s="63" t="str">
        <f>"AD"&amp;J11</f>
        <v>AD1035</v>
      </c>
      <c r="J11" s="55">
        <v>1035</v>
      </c>
    </row>
    <row r="12" spans="1:11" ht="15" x14ac:dyDescent="0.2">
      <c r="B12" s="62" t="s">
        <v>222</v>
      </c>
      <c r="G12" s="60"/>
      <c r="H12" s="61" t="s">
        <v>88</v>
      </c>
      <c r="J12" s="55">
        <v>7</v>
      </c>
    </row>
    <row r="13" spans="1:11" ht="14.25" x14ac:dyDescent="0.2">
      <c r="G13" s="64"/>
      <c r="H13" s="65">
        <v>44954</v>
      </c>
    </row>
    <row r="14" spans="1:11" ht="15" x14ac:dyDescent="0.2">
      <c r="B14" s="62"/>
      <c r="G14" s="60"/>
      <c r="H14" s="61" t="s">
        <v>89</v>
      </c>
    </row>
    <row r="15" spans="1:11" ht="14.25" x14ac:dyDescent="0.2">
      <c r="G15" s="64"/>
      <c r="H15" s="65">
        <f>H13+J12</f>
        <v>44961</v>
      </c>
    </row>
    <row r="16" spans="1:11" ht="14.25" x14ac:dyDescent="0.2">
      <c r="B16" s="62"/>
      <c r="F16" s="65"/>
      <c r="G16" s="65"/>
      <c r="H16" s="65"/>
    </row>
    <row r="17" spans="2:12" ht="14.25" x14ac:dyDescent="0.2">
      <c r="F17" s="65"/>
      <c r="G17" s="65"/>
      <c r="H17" s="66"/>
    </row>
    <row r="18" spans="2:12" ht="22.5" customHeight="1" x14ac:dyDescent="0.2">
      <c r="B18" s="279" t="s">
        <v>90</v>
      </c>
      <c r="C18" s="280"/>
      <c r="D18" s="280"/>
      <c r="E18" s="280"/>
      <c r="F18" s="65"/>
      <c r="G18" s="65"/>
      <c r="H18" s="66"/>
    </row>
    <row r="19" spans="2:12" ht="15" x14ac:dyDescent="0.2">
      <c r="B19" s="279" t="s">
        <v>223</v>
      </c>
      <c r="C19" s="280"/>
      <c r="D19" s="280"/>
      <c r="E19" s="280"/>
      <c r="F19" s="65"/>
      <c r="G19" s="65"/>
      <c r="H19" s="66"/>
    </row>
    <row r="20" spans="2:12" ht="14.25" x14ac:dyDescent="0.2">
      <c r="B20" s="282" t="s">
        <v>224</v>
      </c>
      <c r="C20" s="280"/>
      <c r="D20" s="280"/>
      <c r="E20" s="280"/>
      <c r="F20" s="65"/>
      <c r="G20" s="65"/>
      <c r="H20" s="66"/>
    </row>
    <row r="21" spans="2:12" ht="14.25" x14ac:dyDescent="0.2">
      <c r="B21" s="67" t="s">
        <v>225</v>
      </c>
      <c r="C21" s="67"/>
      <c r="D21" s="67"/>
      <c r="E21" s="67"/>
      <c r="F21" s="65"/>
      <c r="G21" s="65"/>
      <c r="H21" s="66"/>
    </row>
    <row r="22" spans="2:12" ht="14.25" x14ac:dyDescent="0.2">
      <c r="B22" s="62" t="s">
        <v>226</v>
      </c>
      <c r="C22" s="67"/>
      <c r="D22" s="67"/>
      <c r="E22" s="67"/>
      <c r="F22" s="65"/>
      <c r="G22" s="65"/>
      <c r="H22" s="66"/>
      <c r="J22" s="139"/>
    </row>
    <row r="23" spans="2:12" ht="22.5" customHeight="1" x14ac:dyDescent="0.2">
      <c r="C23" s="67"/>
      <c r="D23" s="67"/>
      <c r="E23" s="67"/>
      <c r="F23" s="67"/>
      <c r="G23" s="67"/>
      <c r="H23" s="67"/>
    </row>
    <row r="24" spans="2:12" ht="27.75" customHeight="1" x14ac:dyDescent="0.2">
      <c r="B24" s="280"/>
      <c r="C24" s="280"/>
      <c r="D24" s="280"/>
      <c r="E24" s="280"/>
      <c r="F24" s="280"/>
      <c r="G24" s="280"/>
      <c r="H24" s="280"/>
    </row>
    <row r="25" spans="2:12" ht="27.75" customHeight="1" x14ac:dyDescent="0.2">
      <c r="B25" s="67"/>
      <c r="C25" s="67"/>
      <c r="D25" s="67"/>
      <c r="E25" s="67"/>
      <c r="F25" s="67"/>
      <c r="G25" s="67"/>
      <c r="H25" s="67"/>
    </row>
    <row r="26" spans="2:12" ht="15.75" customHeight="1" x14ac:dyDescent="0.2">
      <c r="B26" s="67"/>
      <c r="C26" s="67"/>
      <c r="D26" s="67"/>
      <c r="E26" s="67"/>
      <c r="F26" s="67"/>
      <c r="G26" s="67"/>
      <c r="H26" s="67"/>
    </row>
    <row r="27" spans="2:12" ht="15" x14ac:dyDescent="0.25">
      <c r="B27" s="70" t="s">
        <v>88</v>
      </c>
      <c r="C27" s="310" t="s">
        <v>92</v>
      </c>
      <c r="D27" s="310"/>
      <c r="E27" s="70" t="s">
        <v>93</v>
      </c>
      <c r="F27" s="70" t="s">
        <v>94</v>
      </c>
      <c r="G27" s="70" t="s">
        <v>18</v>
      </c>
      <c r="H27" s="70" t="s">
        <v>95</v>
      </c>
    </row>
    <row r="28" spans="2:12" ht="25.5" customHeight="1" x14ac:dyDescent="0.2">
      <c r="B28" s="306">
        <v>44953</v>
      </c>
      <c r="C28" s="285" t="s">
        <v>227</v>
      </c>
      <c r="D28" s="285"/>
      <c r="E28" s="307">
        <v>60</v>
      </c>
      <c r="F28" s="308">
        <v>3</v>
      </c>
      <c r="G28" s="309">
        <v>0.1</v>
      </c>
      <c r="H28" s="307">
        <f>E28*F28</f>
        <v>180</v>
      </c>
    </row>
    <row r="29" spans="2:12" ht="25.5" customHeight="1" x14ac:dyDescent="0.2">
      <c r="B29" s="306"/>
      <c r="C29" s="285"/>
      <c r="D29" s="285"/>
      <c r="E29" s="307"/>
      <c r="F29" s="308"/>
      <c r="G29" s="309"/>
      <c r="H29" s="307"/>
    </row>
    <row r="30" spans="2:12" ht="14.25" x14ac:dyDescent="0.2">
      <c r="B30" s="102"/>
      <c r="C30" s="286"/>
      <c r="D30" s="287"/>
      <c r="E30" s="77"/>
      <c r="F30" s="78"/>
      <c r="G30" s="141"/>
      <c r="H30" s="77"/>
      <c r="L30" s="113"/>
    </row>
    <row r="31" spans="2:12" ht="30" customHeight="1" x14ac:dyDescent="0.2">
      <c r="B31" s="72"/>
      <c r="C31" s="290"/>
      <c r="D31" s="280"/>
      <c r="E31" s="63"/>
      <c r="F31" s="79" t="s">
        <v>97</v>
      </c>
      <c r="G31" s="79"/>
      <c r="H31" s="80">
        <f>SUM(H28:H30)</f>
        <v>180</v>
      </c>
    </row>
    <row r="32" spans="2:12" ht="30" customHeight="1" x14ac:dyDescent="0.2">
      <c r="B32" s="72"/>
      <c r="C32" s="72"/>
      <c r="D32" s="67"/>
      <c r="E32" s="63"/>
      <c r="F32" s="79" t="s">
        <v>98</v>
      </c>
      <c r="G32" s="79"/>
      <c r="H32" s="80">
        <f>H31*0.1</f>
        <v>18</v>
      </c>
    </row>
    <row r="33" spans="1:9" ht="30" customHeight="1" x14ac:dyDescent="0.2">
      <c r="B33" s="72"/>
      <c r="C33" s="290"/>
      <c r="D33" s="280"/>
      <c r="E33" s="63"/>
      <c r="F33" s="81" t="s">
        <v>99</v>
      </c>
      <c r="G33" s="81"/>
      <c r="H33" s="82">
        <v>0</v>
      </c>
    </row>
    <row r="34" spans="1:9" ht="30" customHeight="1" x14ac:dyDescent="0.25">
      <c r="B34" s="83"/>
      <c r="C34" s="291"/>
      <c r="D34" s="278"/>
      <c r="E34" s="84"/>
      <c r="F34" s="85" t="s">
        <v>100</v>
      </c>
      <c r="G34" s="85"/>
      <c r="H34" s="86">
        <f>SUM(H31:H33)</f>
        <v>198</v>
      </c>
    </row>
    <row r="35" spans="1:9" ht="30" customHeight="1" x14ac:dyDescent="0.25">
      <c r="B35" s="83"/>
      <c r="C35" s="83"/>
      <c r="E35" s="84"/>
      <c r="F35" s="85"/>
      <c r="G35" s="85"/>
      <c r="H35" s="87"/>
    </row>
    <row r="36" spans="1:9" ht="30" customHeight="1" x14ac:dyDescent="0.25">
      <c r="B36" s="83"/>
      <c r="C36" s="83"/>
      <c r="E36" s="84"/>
      <c r="F36" s="85"/>
      <c r="G36" s="85"/>
      <c r="H36" s="86"/>
    </row>
    <row r="37" spans="1:9" ht="30" customHeight="1" x14ac:dyDescent="0.25">
      <c r="B37" s="83"/>
      <c r="C37" s="83"/>
      <c r="E37" s="84"/>
      <c r="F37" s="85"/>
      <c r="G37" s="85"/>
      <c r="H37" s="86"/>
    </row>
    <row r="38" spans="1:9" ht="30" customHeight="1" x14ac:dyDescent="0.25">
      <c r="B38" s="83"/>
      <c r="C38" s="83"/>
      <c r="D38" s="154"/>
      <c r="E38" s="84"/>
      <c r="F38" s="85"/>
      <c r="G38" s="85"/>
      <c r="H38" s="86"/>
    </row>
    <row r="39" spans="1:9" ht="30" customHeight="1" x14ac:dyDescent="0.25">
      <c r="B39" s="83"/>
      <c r="C39" s="83"/>
      <c r="E39" s="84"/>
      <c r="F39" s="85"/>
      <c r="G39" s="85"/>
      <c r="H39" s="86"/>
    </row>
    <row r="40" spans="1:9" ht="30" customHeight="1" x14ac:dyDescent="0.25">
      <c r="B40" s="83"/>
      <c r="C40" s="83"/>
      <c r="E40" s="84"/>
      <c r="F40" s="85"/>
      <c r="G40" s="85"/>
      <c r="H40" s="86"/>
    </row>
    <row r="41" spans="1:9" ht="30" customHeight="1" x14ac:dyDescent="0.25">
      <c r="B41" s="83"/>
      <c r="C41" s="83"/>
      <c r="E41" s="84"/>
      <c r="F41" s="85"/>
      <c r="G41" s="85"/>
      <c r="H41" s="86"/>
    </row>
    <row r="42" spans="1:9" ht="30" customHeight="1" x14ac:dyDescent="0.2">
      <c r="B42" s="83"/>
      <c r="C42" s="88"/>
      <c r="D42" s="292" t="s">
        <v>101</v>
      </c>
      <c r="E42" s="292"/>
      <c r="F42" s="292"/>
      <c r="G42" s="89"/>
      <c r="H42" s="90"/>
    </row>
    <row r="43" spans="1:9" ht="12.75" customHeight="1" x14ac:dyDescent="0.2"/>
    <row r="44" spans="1:9" ht="12.75" x14ac:dyDescent="0.2">
      <c r="A44" s="53"/>
      <c r="B44" s="91" t="s">
        <v>102</v>
      </c>
      <c r="C44" s="92"/>
      <c r="D44" s="92"/>
      <c r="E44" s="311" t="s">
        <v>103</v>
      </c>
      <c r="F44" s="311"/>
      <c r="G44" s="311"/>
      <c r="H44" s="311"/>
      <c r="I44" s="311"/>
    </row>
    <row r="45" spans="1:9" ht="14.25" customHeight="1" x14ac:dyDescent="0.2">
      <c r="A45" s="53"/>
      <c r="B45" s="94" t="s">
        <v>104</v>
      </c>
      <c r="C45" s="53"/>
      <c r="D45" s="53"/>
      <c r="E45" s="283">
        <f>H34</f>
        <v>198</v>
      </c>
      <c r="F45" s="283"/>
      <c r="G45" s="283"/>
      <c r="H45" s="283"/>
      <c r="I45" s="283"/>
    </row>
    <row r="46" spans="1:9" ht="15.75" customHeight="1" x14ac:dyDescent="0.2">
      <c r="A46" s="53"/>
      <c r="B46" s="94" t="s">
        <v>106</v>
      </c>
      <c r="C46" s="53"/>
      <c r="D46" s="53"/>
      <c r="E46" s="283"/>
      <c r="F46" s="283"/>
      <c r="G46" s="283"/>
      <c r="H46" s="283"/>
      <c r="I46" s="283"/>
    </row>
    <row r="47" spans="1:9" ht="14.25" x14ac:dyDescent="0.2">
      <c r="A47" s="53"/>
      <c r="B47" s="94" t="s">
        <v>107</v>
      </c>
      <c r="C47" s="53"/>
      <c r="D47" s="53"/>
      <c r="E47" s="95"/>
      <c r="F47" s="95"/>
      <c r="G47" s="95"/>
      <c r="H47" s="95"/>
      <c r="I47" s="95"/>
    </row>
    <row r="48" spans="1:9" ht="13.5" x14ac:dyDescent="0.2">
      <c r="A48" s="53"/>
      <c r="B48" s="125" t="s">
        <v>142</v>
      </c>
      <c r="C48" s="96"/>
      <c r="D48" s="96"/>
      <c r="E48" s="97"/>
      <c r="F48" s="97"/>
      <c r="G48" s="97"/>
      <c r="H48" s="97"/>
      <c r="I48" s="95"/>
    </row>
    <row r="49" spans="1:9" ht="15" customHeight="1" x14ac:dyDescent="0.2">
      <c r="A49" s="53"/>
      <c r="B49" s="125" t="s">
        <v>228</v>
      </c>
      <c r="C49" s="96"/>
      <c r="D49" s="96"/>
      <c r="E49" s="97"/>
      <c r="F49" s="97"/>
      <c r="G49" s="97"/>
      <c r="H49" s="97"/>
      <c r="I49" s="95"/>
    </row>
    <row r="53" spans="1:9" ht="15.75" customHeight="1" x14ac:dyDescent="0.2">
      <c r="B53" s="55" t="s">
        <v>229</v>
      </c>
      <c r="F53" s="62"/>
      <c r="G53" s="62"/>
    </row>
    <row r="54" spans="1:9" ht="15.75" customHeight="1" x14ac:dyDescent="0.2">
      <c r="A54" s="55">
        <v>1021</v>
      </c>
      <c r="B54" s="55" t="s">
        <v>230</v>
      </c>
      <c r="F54" s="62"/>
      <c r="G54" s="62"/>
    </row>
    <row r="55" spans="1:9" ht="15.75" customHeight="1" x14ac:dyDescent="0.2">
      <c r="A55" s="55">
        <v>1022</v>
      </c>
      <c r="B55" s="55" t="s">
        <v>231</v>
      </c>
      <c r="F55" s="62"/>
      <c r="G55" s="62"/>
    </row>
    <row r="56" spans="1:9" ht="15.75" customHeight="1" x14ac:dyDescent="0.2">
      <c r="A56" s="55">
        <v>1023</v>
      </c>
      <c r="B56" s="55" t="s">
        <v>232</v>
      </c>
    </row>
    <row r="57" spans="1:9" ht="15.75" customHeight="1" x14ac:dyDescent="0.2">
      <c r="A57" s="55">
        <v>1024</v>
      </c>
      <c r="B57" s="55" t="s">
        <v>233</v>
      </c>
    </row>
    <row r="58" spans="1:9" ht="15.75" customHeight="1" x14ac:dyDescent="0.2">
      <c r="A58" s="55">
        <v>1025</v>
      </c>
      <c r="B58" s="55" t="s">
        <v>234</v>
      </c>
      <c r="F58" s="62"/>
      <c r="G58" s="62"/>
    </row>
    <row r="59" spans="1:9" ht="15.75" customHeight="1" x14ac:dyDescent="0.2">
      <c r="A59" s="55">
        <v>1026</v>
      </c>
      <c r="B59" s="55" t="s">
        <v>235</v>
      </c>
    </row>
    <row r="60" spans="1:9" ht="15.75" customHeight="1" x14ac:dyDescent="0.2">
      <c r="A60" s="55">
        <v>1027</v>
      </c>
      <c r="B60" s="55" t="s">
        <v>236</v>
      </c>
      <c r="F60" s="62"/>
      <c r="G60" s="62"/>
    </row>
    <row r="61" spans="1:9" ht="15.75" customHeight="1" x14ac:dyDescent="0.2">
      <c r="A61" s="55">
        <v>1028</v>
      </c>
      <c r="B61" s="55" t="s">
        <v>237</v>
      </c>
    </row>
    <row r="62" spans="1:9" ht="15.75" customHeight="1" x14ac:dyDescent="0.2">
      <c r="A62" s="55">
        <v>1029</v>
      </c>
      <c r="B62" s="55" t="s">
        <v>238</v>
      </c>
    </row>
    <row r="63" spans="1:9" ht="15.75" customHeight="1" x14ac:dyDescent="0.2">
      <c r="A63" s="55">
        <v>1031</v>
      </c>
      <c r="B63" s="55" t="s">
        <v>239</v>
      </c>
    </row>
    <row r="64" spans="1:9" ht="15.75" customHeight="1" x14ac:dyDescent="0.2">
      <c r="A64" s="55">
        <v>1032</v>
      </c>
      <c r="B64" s="55" t="s">
        <v>1</v>
      </c>
    </row>
    <row r="65" spans="1:2" ht="15.75" customHeight="1" x14ac:dyDescent="0.2">
      <c r="A65" s="55">
        <v>1033</v>
      </c>
      <c r="B65" s="55" t="s">
        <v>240</v>
      </c>
    </row>
    <row r="66" spans="1:2" ht="15.75" customHeight="1" x14ac:dyDescent="0.2">
      <c r="A66" s="55">
        <v>1034</v>
      </c>
      <c r="B66" s="55" t="s">
        <v>241</v>
      </c>
    </row>
    <row r="67" spans="1:2" ht="15.75" customHeight="1" x14ac:dyDescent="0.2">
      <c r="A67" s="55">
        <v>1035</v>
      </c>
      <c r="B67" s="55" t="s">
        <v>242</v>
      </c>
    </row>
  </sheetData>
  <mergeCells count="24">
    <mergeCell ref="E44:I44"/>
    <mergeCell ref="E45:I46"/>
    <mergeCell ref="H28:H29"/>
    <mergeCell ref="C30:D30"/>
    <mergeCell ref="C31:D31"/>
    <mergeCell ref="C33:D33"/>
    <mergeCell ref="C34:D34"/>
    <mergeCell ref="D42:F42"/>
    <mergeCell ref="B18:E18"/>
    <mergeCell ref="B19:E19"/>
    <mergeCell ref="B20:E20"/>
    <mergeCell ref="B24:H24"/>
    <mergeCell ref="C27:D27"/>
    <mergeCell ref="B28:B29"/>
    <mergeCell ref="C28:D29"/>
    <mergeCell ref="E28:E29"/>
    <mergeCell ref="F28:F29"/>
    <mergeCell ref="G28:G29"/>
    <mergeCell ref="B9:H9"/>
    <mergeCell ref="E3:H3"/>
    <mergeCell ref="B4:D6"/>
    <mergeCell ref="E4:H4"/>
    <mergeCell ref="E5:H5"/>
    <mergeCell ref="E6:H6"/>
  </mergeCells>
  <conditionalFormatting sqref="B26">
    <cfRule type="notContainsBlanks" dxfId="17" priority="1">
      <formula>LEN(TRIM(B26))&gt;0</formula>
    </cfRule>
  </conditionalFormatting>
  <hyperlinks>
    <hyperlink ref="K6" r:id="rId1" xr:uid="{FB7D01DF-5040-4A60-9761-A3DF40A5743C}"/>
  </hyperlinks>
  <printOptions horizontalCentered="1" verticalCentered="1"/>
  <pageMargins left="0.25" right="0.25" top="0.75" bottom="0.75" header="0.3" footer="0.3"/>
  <pageSetup paperSize="9" scale="76" orientation="portrait" r:id="rId2"/>
  <drawing r:id="rId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347EA5-BC5D-4610-A873-5A9CA94FDC4B}">
  <sheetPr codeName="Sheet44">
    <tabColor theme="8" tint="0.39997558519241921"/>
    <outlinePr summaryBelow="0" summaryRight="0"/>
    <pageSetUpPr fitToPage="1"/>
  </sheetPr>
  <dimension ref="A1:J59"/>
  <sheetViews>
    <sheetView showGridLines="0" topLeftCell="A6" zoomScale="110" zoomScaleNormal="110" workbookViewId="0">
      <selection activeCell="H11" sqref="H11"/>
    </sheetView>
  </sheetViews>
  <sheetFormatPr defaultColWidth="14.42578125" defaultRowHeight="15.75" customHeight="1" x14ac:dyDescent="0.2"/>
  <cols>
    <col min="1" max="1" width="3.42578125" style="55" customWidth="1"/>
    <col min="2" max="3" width="14.42578125" style="55"/>
    <col min="4" max="4" width="26.7109375" style="55" customWidth="1"/>
    <col min="5" max="5" width="18.140625" style="55" bestFit="1" customWidth="1"/>
    <col min="6" max="6" width="16.42578125" style="55" customWidth="1"/>
    <col min="7" max="7" width="12.7109375" style="55" customWidth="1"/>
    <col min="8" max="8" width="17.42578125" style="55" customWidth="1"/>
    <col min="9" max="9" width="3.42578125" style="55" customWidth="1"/>
    <col min="10" max="16384" width="14.42578125" style="55"/>
  </cols>
  <sheetData>
    <row r="1" spans="1:10" ht="39" customHeight="1" x14ac:dyDescent="0.2">
      <c r="A1" s="53"/>
      <c r="B1" s="54"/>
      <c r="C1" s="54"/>
      <c r="D1" s="54"/>
      <c r="E1" s="54"/>
      <c r="F1" s="54"/>
      <c r="G1" s="54"/>
      <c r="H1" s="54"/>
      <c r="I1" s="54"/>
    </row>
    <row r="2" spans="1:10" x14ac:dyDescent="0.25">
      <c r="A2" s="53"/>
      <c r="B2" s="56"/>
      <c r="C2" s="56"/>
      <c r="D2" s="56"/>
      <c r="E2" s="57"/>
      <c r="F2" s="57"/>
      <c r="G2" s="57"/>
      <c r="H2" s="57"/>
      <c r="I2" s="56"/>
    </row>
    <row r="3" spans="1:10" ht="12.75" x14ac:dyDescent="0.2">
      <c r="A3" s="53"/>
      <c r="B3" s="56"/>
      <c r="C3" s="56"/>
      <c r="D3" s="56"/>
      <c r="E3" s="273"/>
      <c r="F3" s="274"/>
      <c r="G3" s="274"/>
      <c r="H3" s="274"/>
      <c r="I3" s="56"/>
    </row>
    <row r="4" spans="1:10" ht="12.75" x14ac:dyDescent="0.2">
      <c r="A4" s="53"/>
      <c r="B4" s="275" t="s">
        <v>83</v>
      </c>
      <c r="C4" s="276"/>
      <c r="D4" s="276"/>
      <c r="E4" s="277"/>
      <c r="F4" s="274"/>
      <c r="G4" s="274"/>
      <c r="H4" s="274"/>
      <c r="I4" s="56"/>
    </row>
    <row r="5" spans="1:10" ht="12.75" x14ac:dyDescent="0.2">
      <c r="A5" s="53"/>
      <c r="B5" s="276"/>
      <c r="C5" s="276"/>
      <c r="D5" s="276"/>
      <c r="E5" s="277"/>
      <c r="F5" s="274"/>
      <c r="G5" s="274"/>
      <c r="H5" s="274"/>
      <c r="I5" s="56"/>
    </row>
    <row r="6" spans="1:10" ht="12.75" x14ac:dyDescent="0.2">
      <c r="A6" s="53"/>
      <c r="B6" s="276"/>
      <c r="C6" s="276"/>
      <c r="D6" s="276"/>
      <c r="E6" s="277"/>
      <c r="F6" s="274"/>
      <c r="G6" s="274"/>
      <c r="H6" s="274"/>
      <c r="I6" s="56"/>
    </row>
    <row r="7" spans="1:10" ht="36.75" customHeight="1" x14ac:dyDescent="0.2">
      <c r="A7" s="53"/>
      <c r="B7" s="54"/>
      <c r="C7" s="54"/>
      <c r="D7" s="54"/>
      <c r="E7" s="54"/>
      <c r="F7" s="54"/>
      <c r="G7" s="54"/>
      <c r="H7" s="54"/>
      <c r="I7" s="54"/>
    </row>
    <row r="8" spans="1:10" ht="21.75" customHeight="1" x14ac:dyDescent="0.2">
      <c r="B8" s="58"/>
      <c r="C8" s="58"/>
      <c r="D8" s="58"/>
      <c r="E8" s="58"/>
      <c r="F8" s="58"/>
      <c r="G8" s="58"/>
      <c r="H8" s="58"/>
      <c r="I8" s="58"/>
      <c r="J8" s="59"/>
    </row>
    <row r="9" spans="1:10" ht="15.75" customHeight="1" x14ac:dyDescent="0.2">
      <c r="B9" s="278"/>
      <c r="C9" s="278"/>
      <c r="D9" s="278"/>
      <c r="E9" s="278"/>
      <c r="F9" s="278"/>
      <c r="G9" s="278"/>
      <c r="H9" s="278"/>
    </row>
    <row r="10" spans="1:10" ht="15" customHeight="1" x14ac:dyDescent="0.2">
      <c r="B10" s="60" t="s">
        <v>84</v>
      </c>
      <c r="G10" s="60"/>
      <c r="H10" s="61" t="s">
        <v>85</v>
      </c>
    </row>
    <row r="11" spans="1:10" ht="14.25" x14ac:dyDescent="0.2">
      <c r="B11" s="62" t="s">
        <v>86</v>
      </c>
      <c r="G11" s="62"/>
      <c r="H11" s="63" t="str">
        <f>"AZ"&amp;J11</f>
        <v>AZ70</v>
      </c>
      <c r="J11" s="55">
        <v>70</v>
      </c>
    </row>
    <row r="12" spans="1:10" ht="15" x14ac:dyDescent="0.2">
      <c r="B12" s="62" t="s">
        <v>87</v>
      </c>
      <c r="G12" s="60"/>
      <c r="H12" s="61" t="s">
        <v>88</v>
      </c>
      <c r="J12" s="55">
        <v>7</v>
      </c>
    </row>
    <row r="13" spans="1:10" ht="14.25" x14ac:dyDescent="0.2">
      <c r="B13" s="62"/>
      <c r="G13" s="64"/>
      <c r="H13" s="65">
        <v>44946</v>
      </c>
    </row>
    <row r="14" spans="1:10" ht="15" x14ac:dyDescent="0.2">
      <c r="G14" s="60"/>
      <c r="H14" s="61" t="s">
        <v>89</v>
      </c>
    </row>
    <row r="15" spans="1:10" ht="14.25" x14ac:dyDescent="0.2">
      <c r="G15" s="64"/>
      <c r="H15" s="65">
        <f>H13+J12</f>
        <v>44953</v>
      </c>
    </row>
    <row r="16" spans="1:10" ht="14.25" x14ac:dyDescent="0.2">
      <c r="B16" s="62"/>
      <c r="F16" s="65"/>
      <c r="G16" s="65"/>
      <c r="H16" s="65"/>
    </row>
    <row r="17" spans="2:8" ht="14.25" x14ac:dyDescent="0.2">
      <c r="F17" s="65"/>
      <c r="G17" s="65"/>
      <c r="H17" s="66"/>
    </row>
    <row r="18" spans="2:8" ht="22.5" customHeight="1" x14ac:dyDescent="0.2">
      <c r="B18" s="279" t="s">
        <v>90</v>
      </c>
      <c r="C18" s="280"/>
      <c r="D18" s="280"/>
      <c r="E18" s="280"/>
      <c r="F18" s="65"/>
      <c r="G18" s="65"/>
      <c r="H18" s="66"/>
    </row>
    <row r="19" spans="2:8" ht="15" x14ac:dyDescent="0.2">
      <c r="B19" s="279" t="s">
        <v>243</v>
      </c>
      <c r="C19" s="280"/>
      <c r="D19" s="280"/>
      <c r="E19" s="280"/>
      <c r="F19" s="65"/>
      <c r="G19" s="65"/>
      <c r="H19" s="66"/>
    </row>
    <row r="20" spans="2:8" ht="14.25" x14ac:dyDescent="0.2">
      <c r="B20" s="282" t="s">
        <v>244</v>
      </c>
      <c r="C20" s="280"/>
      <c r="D20" s="280"/>
      <c r="E20" s="280"/>
      <c r="F20" s="65"/>
      <c r="G20" s="65"/>
      <c r="H20" s="66"/>
    </row>
    <row r="21" spans="2:8" ht="14.25" x14ac:dyDescent="0.2">
      <c r="B21" s="62"/>
      <c r="C21" s="67"/>
      <c r="D21" s="67"/>
      <c r="E21" s="67"/>
      <c r="F21" s="65"/>
      <c r="G21" s="65"/>
      <c r="H21" s="66"/>
    </row>
    <row r="22" spans="2:8" ht="14.25" x14ac:dyDescent="0.2">
      <c r="B22" s="62"/>
      <c r="C22" s="67"/>
      <c r="D22" s="67"/>
      <c r="E22" s="67"/>
      <c r="F22" s="65"/>
      <c r="G22" s="65"/>
      <c r="H22" s="66"/>
    </row>
    <row r="23" spans="2:8" ht="22.5" customHeight="1" x14ac:dyDescent="0.2">
      <c r="B23" s="282"/>
      <c r="C23" s="280"/>
      <c r="D23" s="280"/>
      <c r="E23" s="280"/>
      <c r="F23" s="67"/>
      <c r="G23" s="67"/>
      <c r="H23" s="67"/>
    </row>
    <row r="24" spans="2:8" ht="27.75" customHeight="1" x14ac:dyDescent="0.2">
      <c r="B24" s="280"/>
      <c r="C24" s="280"/>
      <c r="D24" s="280"/>
      <c r="E24" s="280"/>
      <c r="F24" s="280"/>
      <c r="G24" s="280"/>
      <c r="H24" s="280"/>
    </row>
    <row r="25" spans="2:8" ht="27.75" customHeight="1" x14ac:dyDescent="0.2">
      <c r="B25" s="67"/>
      <c r="C25" s="67"/>
      <c r="D25" s="67"/>
      <c r="E25" s="67"/>
      <c r="F25" s="67"/>
      <c r="G25" s="67"/>
      <c r="H25" s="67"/>
    </row>
    <row r="26" spans="2:8" ht="15.75" customHeight="1" x14ac:dyDescent="0.2">
      <c r="B26" s="67"/>
      <c r="C26" s="67"/>
      <c r="D26" s="67"/>
      <c r="E26" s="67"/>
      <c r="F26" s="67"/>
      <c r="G26" s="67"/>
      <c r="H26" s="67"/>
    </row>
    <row r="27" spans="2:8" ht="15" x14ac:dyDescent="0.25">
      <c r="B27" s="68" t="s">
        <v>88</v>
      </c>
      <c r="C27" s="272" t="s">
        <v>92</v>
      </c>
      <c r="D27" s="272"/>
      <c r="E27" s="69" t="s">
        <v>93</v>
      </c>
      <c r="F27" s="69" t="s">
        <v>129</v>
      </c>
      <c r="G27" s="70" t="s">
        <v>18</v>
      </c>
      <c r="H27" s="69" t="s">
        <v>167</v>
      </c>
    </row>
    <row r="28" spans="2:8" ht="25.5" customHeight="1" x14ac:dyDescent="0.2">
      <c r="B28" s="71">
        <v>44945</v>
      </c>
      <c r="C28" s="290" t="s">
        <v>122</v>
      </c>
      <c r="D28" s="280"/>
      <c r="E28" s="73">
        <v>39</v>
      </c>
      <c r="F28" s="74">
        <v>2</v>
      </c>
      <c r="G28" s="75">
        <v>0.1</v>
      </c>
      <c r="H28" s="73">
        <f>E28*F28</f>
        <v>78</v>
      </c>
    </row>
    <row r="29" spans="2:8" ht="30" customHeight="1" x14ac:dyDescent="0.2">
      <c r="B29" s="76"/>
      <c r="C29" s="286"/>
      <c r="D29" s="287"/>
      <c r="E29" s="77"/>
      <c r="F29" s="78"/>
      <c r="G29" s="78"/>
      <c r="H29" s="77"/>
    </row>
    <row r="30" spans="2:8" ht="30" customHeight="1" x14ac:dyDescent="0.2">
      <c r="B30" s="72"/>
      <c r="C30" s="290"/>
      <c r="D30" s="280"/>
      <c r="E30" s="63"/>
      <c r="F30" s="79" t="s">
        <v>97</v>
      </c>
      <c r="G30" s="79"/>
      <c r="H30" s="80">
        <f>SUM(H28:H29)</f>
        <v>78</v>
      </c>
    </row>
    <row r="31" spans="2:8" ht="30" customHeight="1" x14ac:dyDescent="0.2">
      <c r="B31" s="72"/>
      <c r="C31" s="72"/>
      <c r="D31" s="67"/>
      <c r="E31" s="63"/>
      <c r="F31" s="79" t="s">
        <v>98</v>
      </c>
      <c r="G31" s="79"/>
      <c r="H31" s="80">
        <f>H30*0.1</f>
        <v>7.8000000000000007</v>
      </c>
    </row>
    <row r="32" spans="2:8" ht="30" customHeight="1" x14ac:dyDescent="0.2">
      <c r="B32" s="72"/>
      <c r="C32" s="290"/>
      <c r="D32" s="280"/>
      <c r="E32" s="63"/>
      <c r="F32" s="81" t="s">
        <v>99</v>
      </c>
      <c r="G32" s="81"/>
      <c r="H32" s="82">
        <v>0</v>
      </c>
    </row>
    <row r="33" spans="1:9" ht="30" customHeight="1" x14ac:dyDescent="0.25">
      <c r="B33" s="83"/>
      <c r="C33" s="291"/>
      <c r="D33" s="278"/>
      <c r="E33" s="84"/>
      <c r="F33" s="85" t="s">
        <v>100</v>
      </c>
      <c r="G33" s="85"/>
      <c r="H33" s="86">
        <f>SUM(H30:H32)</f>
        <v>85.8</v>
      </c>
    </row>
    <row r="34" spans="1:9" ht="30" customHeight="1" x14ac:dyDescent="0.25">
      <c r="B34" s="83"/>
      <c r="C34" s="83"/>
      <c r="E34" s="84"/>
      <c r="F34" s="85"/>
      <c r="G34" s="85"/>
      <c r="H34" s="87"/>
    </row>
    <row r="35" spans="1:9" ht="30" customHeight="1" x14ac:dyDescent="0.25">
      <c r="B35" s="83"/>
      <c r="C35" s="83"/>
      <c r="E35" s="84"/>
      <c r="F35" s="85"/>
      <c r="G35" s="85"/>
      <c r="H35" s="86"/>
    </row>
    <row r="36" spans="1:9" ht="30" customHeight="1" x14ac:dyDescent="0.25">
      <c r="B36" s="83"/>
      <c r="C36" s="83"/>
      <c r="E36" s="84"/>
      <c r="F36" s="85"/>
      <c r="G36" s="85"/>
      <c r="H36" s="86"/>
    </row>
    <row r="37" spans="1:9" ht="30" customHeight="1" x14ac:dyDescent="0.25">
      <c r="B37" s="83"/>
      <c r="C37" s="83"/>
      <c r="E37" s="84"/>
      <c r="F37" s="85"/>
      <c r="G37" s="85"/>
      <c r="H37" s="86"/>
    </row>
    <row r="38" spans="1:9" ht="30" customHeight="1" x14ac:dyDescent="0.25">
      <c r="B38" s="83"/>
      <c r="C38" s="83"/>
      <c r="E38" s="84"/>
      <c r="F38" s="85"/>
      <c r="G38" s="85"/>
      <c r="H38" s="86"/>
    </row>
    <row r="39" spans="1:9" ht="30" customHeight="1" x14ac:dyDescent="0.25">
      <c r="B39" s="83"/>
      <c r="C39" s="83"/>
      <c r="E39" s="84"/>
      <c r="F39" s="85"/>
      <c r="G39" s="85"/>
      <c r="H39" s="86"/>
    </row>
    <row r="40" spans="1:9" ht="30" customHeight="1" x14ac:dyDescent="0.25">
      <c r="B40" s="83"/>
      <c r="C40" s="83"/>
      <c r="E40" s="84"/>
      <c r="F40" s="85"/>
      <c r="G40" s="85"/>
      <c r="H40" s="86"/>
    </row>
    <row r="41" spans="1:9" ht="30" customHeight="1" x14ac:dyDescent="0.2">
      <c r="B41" s="83"/>
      <c r="C41" s="88"/>
      <c r="D41" s="292" t="s">
        <v>101</v>
      </c>
      <c r="E41" s="292"/>
      <c r="F41" s="292"/>
      <c r="G41" s="89"/>
      <c r="H41" s="90"/>
    </row>
    <row r="42" spans="1:9" ht="12.75" customHeight="1" x14ac:dyDescent="0.2"/>
    <row r="43" spans="1:9" ht="12.75" x14ac:dyDescent="0.2">
      <c r="A43" s="53"/>
      <c r="B43" s="91" t="s">
        <v>102</v>
      </c>
      <c r="C43" s="92"/>
      <c r="D43" s="92"/>
      <c r="E43" s="300" t="s">
        <v>103</v>
      </c>
      <c r="F43" s="300"/>
      <c r="G43" s="300"/>
      <c r="H43" s="300"/>
      <c r="I43" s="300"/>
    </row>
    <row r="44" spans="1:9" ht="14.25" customHeight="1" x14ac:dyDescent="0.2">
      <c r="A44" s="53"/>
      <c r="B44" s="94" t="s">
        <v>104</v>
      </c>
      <c r="C44" s="53"/>
      <c r="D44" s="53"/>
      <c r="E44" s="283">
        <f>H33</f>
        <v>85.8</v>
      </c>
      <c r="F44" s="283"/>
      <c r="G44" s="283"/>
      <c r="H44" s="283"/>
      <c r="I44" s="283"/>
    </row>
    <row r="45" spans="1:9" ht="15.75" customHeight="1" x14ac:dyDescent="0.2">
      <c r="A45" s="53"/>
      <c r="B45" s="94" t="s">
        <v>105</v>
      </c>
      <c r="C45" s="53"/>
      <c r="D45" s="53"/>
      <c r="E45" s="283"/>
      <c r="F45" s="283"/>
      <c r="G45" s="283"/>
      <c r="H45" s="283"/>
      <c r="I45" s="283"/>
    </row>
    <row r="46" spans="1:9" ht="14.25" x14ac:dyDescent="0.2">
      <c r="A46" s="53"/>
      <c r="B46" s="94" t="s">
        <v>106</v>
      </c>
      <c r="C46" s="53"/>
      <c r="D46" s="53"/>
      <c r="E46" s="95"/>
      <c r="F46" s="95"/>
      <c r="G46" s="95"/>
      <c r="H46" s="95"/>
      <c r="I46" s="95"/>
    </row>
    <row r="47" spans="1:9" ht="14.25" x14ac:dyDescent="0.2">
      <c r="A47" s="53"/>
      <c r="B47" s="94" t="s">
        <v>107</v>
      </c>
      <c r="C47" s="96"/>
      <c r="D47" s="96"/>
      <c r="E47" s="97"/>
      <c r="F47" s="97"/>
      <c r="G47" s="97"/>
      <c r="H47" s="97"/>
      <c r="I47" s="95"/>
    </row>
    <row r="48" spans="1:9" ht="53.25" customHeight="1" x14ac:dyDescent="0.2">
      <c r="B48" s="284"/>
      <c r="C48" s="278"/>
      <c r="D48" s="278"/>
      <c r="E48" s="278"/>
      <c r="F48" s="278"/>
      <c r="G48" s="278"/>
      <c r="H48" s="278"/>
    </row>
    <row r="52" spans="6:7" ht="15.75" customHeight="1" x14ac:dyDescent="0.2">
      <c r="F52" s="62"/>
      <c r="G52" s="62"/>
    </row>
    <row r="53" spans="6:7" ht="15.75" customHeight="1" x14ac:dyDescent="0.2">
      <c r="F53" s="62"/>
      <c r="G53" s="62"/>
    </row>
    <row r="54" spans="6:7" ht="15.75" customHeight="1" x14ac:dyDescent="0.2">
      <c r="F54" s="62"/>
      <c r="G54" s="62"/>
    </row>
    <row r="57" spans="6:7" ht="15.75" customHeight="1" x14ac:dyDescent="0.2">
      <c r="F57" s="62"/>
      <c r="G57" s="62"/>
    </row>
    <row r="59" spans="6:7" ht="15.75" customHeight="1" x14ac:dyDescent="0.2">
      <c r="F59" s="62"/>
      <c r="G59" s="62"/>
    </row>
  </sheetData>
  <mergeCells count="21">
    <mergeCell ref="E43:I43"/>
    <mergeCell ref="E44:I45"/>
    <mergeCell ref="B48:H48"/>
    <mergeCell ref="C28:D28"/>
    <mergeCell ref="C29:D29"/>
    <mergeCell ref="C30:D30"/>
    <mergeCell ref="C32:D32"/>
    <mergeCell ref="C33:D33"/>
    <mergeCell ref="D41:F41"/>
    <mergeCell ref="C27:D27"/>
    <mergeCell ref="E3:H3"/>
    <mergeCell ref="B4:D6"/>
    <mergeCell ref="E4:H4"/>
    <mergeCell ref="E5:H5"/>
    <mergeCell ref="E6:H6"/>
    <mergeCell ref="B9:H9"/>
    <mergeCell ref="B18:E18"/>
    <mergeCell ref="B19:E19"/>
    <mergeCell ref="B20:E20"/>
    <mergeCell ref="B23:E23"/>
    <mergeCell ref="B24:H24"/>
  </mergeCells>
  <conditionalFormatting sqref="B26">
    <cfRule type="notContainsBlanks" dxfId="16" priority="1">
      <formula>LEN(TRIM(B26))&gt;0</formula>
    </cfRule>
  </conditionalFormatting>
  <hyperlinks>
    <hyperlink ref="B12" r:id="rId1" xr:uid="{910CC317-317A-47F3-A61A-C878927AA601}"/>
  </hyperlinks>
  <printOptions horizontalCentered="1" verticalCentered="1"/>
  <pageMargins left="3.937007874015748E-2" right="3.937007874015748E-2" top="0.35433070866141736" bottom="0.27559055118110237" header="0.31496062992125984" footer="0.31496062992125984"/>
  <pageSetup paperSize="9" scale="82" orientation="portrait" r:id="rId2"/>
  <drawing r:id="rId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9B157D-C196-4482-9200-392B3F0A7089}">
  <sheetPr codeName="Sheet45">
    <tabColor theme="8" tint="0.39997558519241921"/>
    <outlinePr summaryBelow="0" summaryRight="0"/>
    <pageSetUpPr fitToPage="1"/>
  </sheetPr>
  <dimension ref="A1:L59"/>
  <sheetViews>
    <sheetView showGridLines="0" topLeftCell="A6" workbookViewId="0">
      <selection activeCell="H11" sqref="H11"/>
    </sheetView>
  </sheetViews>
  <sheetFormatPr defaultColWidth="14.42578125" defaultRowHeight="15.75" customHeight="1" x14ac:dyDescent="0.2"/>
  <cols>
    <col min="1" max="1" width="3.42578125" style="55" customWidth="1"/>
    <col min="2" max="3" width="14.42578125" style="55"/>
    <col min="4" max="4" width="26.42578125" style="55" customWidth="1"/>
    <col min="5" max="5" width="18.140625" style="55" bestFit="1" customWidth="1"/>
    <col min="6" max="6" width="16.42578125" style="55" customWidth="1"/>
    <col min="7" max="7" width="13.28515625" style="55" customWidth="1"/>
    <col min="8" max="8" width="16.42578125" style="55" customWidth="1"/>
    <col min="9" max="9" width="2.42578125" style="55" customWidth="1"/>
    <col min="10" max="16384" width="14.42578125" style="55"/>
  </cols>
  <sheetData>
    <row r="1" spans="1:10" ht="39" customHeight="1" x14ac:dyDescent="0.2">
      <c r="A1" s="53"/>
      <c r="B1" s="54"/>
      <c r="C1" s="54"/>
      <c r="D1" s="54"/>
      <c r="E1" s="54"/>
      <c r="F1" s="54"/>
      <c r="G1" s="54"/>
      <c r="H1" s="54"/>
      <c r="I1" s="54"/>
    </row>
    <row r="2" spans="1:10" x14ac:dyDescent="0.25">
      <c r="A2" s="53"/>
      <c r="B2" s="56"/>
      <c r="C2" s="56"/>
      <c r="D2" s="56"/>
      <c r="E2" s="57"/>
      <c r="F2" s="57"/>
      <c r="G2" s="57"/>
      <c r="H2" s="57"/>
      <c r="I2" s="56"/>
    </row>
    <row r="3" spans="1:10" ht="12.75" x14ac:dyDescent="0.2">
      <c r="A3" s="53"/>
      <c r="B3" s="56"/>
      <c r="C3" s="56"/>
      <c r="D3" s="56"/>
      <c r="E3" s="273"/>
      <c r="F3" s="274"/>
      <c r="G3" s="274"/>
      <c r="H3" s="274"/>
      <c r="I3" s="56"/>
    </row>
    <row r="4" spans="1:10" ht="12.75" x14ac:dyDescent="0.2">
      <c r="A4" s="53"/>
      <c r="B4" s="275" t="s">
        <v>83</v>
      </c>
      <c r="C4" s="276"/>
      <c r="D4" s="276"/>
      <c r="E4" s="277"/>
      <c r="F4" s="274"/>
      <c r="G4" s="274"/>
      <c r="H4" s="274"/>
      <c r="I4" s="56"/>
    </row>
    <row r="5" spans="1:10" ht="12.75" x14ac:dyDescent="0.2">
      <c r="A5" s="53"/>
      <c r="B5" s="276"/>
      <c r="C5" s="276"/>
      <c r="D5" s="276"/>
      <c r="E5" s="277"/>
      <c r="F5" s="274"/>
      <c r="G5" s="274"/>
      <c r="H5" s="274"/>
      <c r="I5" s="56"/>
    </row>
    <row r="6" spans="1:10" ht="12.75" x14ac:dyDescent="0.2">
      <c r="A6" s="53"/>
      <c r="B6" s="276"/>
      <c r="C6" s="276"/>
      <c r="D6" s="276"/>
      <c r="E6" s="277"/>
      <c r="F6" s="274"/>
      <c r="G6" s="274"/>
      <c r="H6" s="274"/>
      <c r="I6" s="56"/>
    </row>
    <row r="7" spans="1:10" ht="36.75" customHeight="1" x14ac:dyDescent="0.2">
      <c r="A7" s="53"/>
      <c r="B7" s="54"/>
      <c r="C7" s="54"/>
      <c r="D7" s="54"/>
      <c r="E7" s="54"/>
      <c r="F7" s="54"/>
      <c r="G7" s="54"/>
      <c r="H7" s="54"/>
      <c r="I7" s="54"/>
    </row>
    <row r="8" spans="1:10" ht="21.75" customHeight="1" x14ac:dyDescent="0.2">
      <c r="B8" s="58"/>
      <c r="C8" s="58"/>
      <c r="D8" s="58"/>
      <c r="E8" s="58"/>
      <c r="F8" s="58"/>
      <c r="G8" s="58"/>
      <c r="H8" s="58"/>
      <c r="I8" s="58"/>
      <c r="J8" s="59"/>
    </row>
    <row r="9" spans="1:10" ht="15.75" customHeight="1" x14ac:dyDescent="0.2">
      <c r="B9" s="278"/>
      <c r="C9" s="278"/>
      <c r="D9" s="278"/>
      <c r="E9" s="278"/>
      <c r="F9" s="278"/>
      <c r="G9" s="278"/>
      <c r="H9" s="278"/>
    </row>
    <row r="10" spans="1:10" ht="15" customHeight="1" x14ac:dyDescent="0.2">
      <c r="B10" s="60" t="s">
        <v>84</v>
      </c>
      <c r="G10" s="60"/>
      <c r="H10" s="61" t="s">
        <v>85</v>
      </c>
    </row>
    <row r="11" spans="1:10" ht="14.25" x14ac:dyDescent="0.2">
      <c r="B11" s="62" t="s">
        <v>86</v>
      </c>
      <c r="G11" s="62"/>
      <c r="H11" s="63" t="str">
        <f>"AP"&amp;J11</f>
        <v>AP79</v>
      </c>
      <c r="J11" s="55">
        <v>79</v>
      </c>
    </row>
    <row r="12" spans="1:10" ht="15" x14ac:dyDescent="0.2">
      <c r="B12" s="62" t="s">
        <v>87</v>
      </c>
      <c r="G12" s="60"/>
      <c r="H12" s="61" t="s">
        <v>88</v>
      </c>
      <c r="J12" s="55">
        <v>7</v>
      </c>
    </row>
    <row r="13" spans="1:10" ht="14.25" x14ac:dyDescent="0.2">
      <c r="B13" s="62"/>
      <c r="G13" s="64"/>
      <c r="H13" s="65">
        <v>44954</v>
      </c>
    </row>
    <row r="14" spans="1:10" ht="15" x14ac:dyDescent="0.2">
      <c r="G14" s="60"/>
      <c r="H14" s="61" t="s">
        <v>89</v>
      </c>
    </row>
    <row r="15" spans="1:10" ht="14.25" x14ac:dyDescent="0.2">
      <c r="G15" s="64"/>
      <c r="H15" s="65">
        <f>H13+J12</f>
        <v>44961</v>
      </c>
    </row>
    <row r="16" spans="1:10" ht="14.25" x14ac:dyDescent="0.2">
      <c r="B16" s="62"/>
      <c r="F16" s="65"/>
      <c r="G16" s="65"/>
      <c r="H16" s="65"/>
    </row>
    <row r="17" spans="2:11" ht="14.25" x14ac:dyDescent="0.2">
      <c r="F17" s="65"/>
      <c r="G17" s="65"/>
      <c r="H17" s="66"/>
    </row>
    <row r="18" spans="2:11" ht="22.5" customHeight="1" x14ac:dyDescent="0.2">
      <c r="B18" s="279" t="s">
        <v>90</v>
      </c>
      <c r="C18" s="280"/>
      <c r="D18" s="280"/>
      <c r="E18" s="280"/>
      <c r="F18" s="65"/>
      <c r="G18" s="65"/>
      <c r="H18" s="66"/>
    </row>
    <row r="19" spans="2:11" ht="15" x14ac:dyDescent="0.2">
      <c r="B19" s="279" t="s">
        <v>245</v>
      </c>
      <c r="C19" s="280"/>
      <c r="D19" s="280"/>
      <c r="E19" s="280"/>
      <c r="F19" s="65"/>
      <c r="G19" s="65"/>
      <c r="H19" s="66"/>
    </row>
    <row r="20" spans="2:11" ht="14.25" x14ac:dyDescent="0.2">
      <c r="B20" s="282" t="s">
        <v>246</v>
      </c>
      <c r="C20" s="280"/>
      <c r="D20" s="280"/>
      <c r="E20" s="280"/>
      <c r="F20" s="65"/>
      <c r="G20" s="65"/>
      <c r="H20" s="66"/>
    </row>
    <row r="21" spans="2:11" ht="14.25" x14ac:dyDescent="0.2">
      <c r="B21" s="62"/>
      <c r="C21" s="67"/>
      <c r="D21" s="67"/>
      <c r="E21" s="67"/>
      <c r="F21" s="65"/>
      <c r="G21" s="65"/>
      <c r="H21" s="66"/>
    </row>
    <row r="22" spans="2:11" ht="14.25" x14ac:dyDescent="0.2">
      <c r="B22" s="62"/>
      <c r="C22" s="67"/>
      <c r="D22" s="67"/>
      <c r="E22" s="67"/>
      <c r="F22" s="65"/>
      <c r="G22" s="65"/>
      <c r="H22" s="66"/>
    </row>
    <row r="23" spans="2:11" ht="22.5" customHeight="1" x14ac:dyDescent="0.2">
      <c r="B23" s="282"/>
      <c r="C23" s="280"/>
      <c r="D23" s="280"/>
      <c r="E23" s="280"/>
      <c r="F23" s="67"/>
      <c r="G23" s="67"/>
      <c r="H23" s="67"/>
    </row>
    <row r="24" spans="2:11" ht="27.75" customHeight="1" x14ac:dyDescent="0.2">
      <c r="B24" s="280"/>
      <c r="C24" s="280"/>
      <c r="D24" s="280"/>
      <c r="E24" s="280"/>
      <c r="F24" s="280"/>
      <c r="G24" s="280"/>
      <c r="H24" s="280"/>
      <c r="K24" s="150"/>
    </row>
    <row r="25" spans="2:11" ht="27.75" customHeight="1" x14ac:dyDescent="0.2">
      <c r="B25" s="67"/>
      <c r="C25" s="67"/>
      <c r="D25" s="67"/>
      <c r="E25" s="67"/>
      <c r="F25" s="67"/>
      <c r="G25" s="67"/>
      <c r="H25" s="67"/>
    </row>
    <row r="26" spans="2:11" ht="15.75" customHeight="1" x14ac:dyDescent="0.2">
      <c r="B26" s="67"/>
      <c r="C26" s="67"/>
      <c r="D26" s="67"/>
      <c r="E26" s="67"/>
      <c r="F26" s="67"/>
      <c r="G26" s="67"/>
      <c r="H26" s="67"/>
    </row>
    <row r="27" spans="2:11" ht="15" x14ac:dyDescent="0.25">
      <c r="B27" s="68" t="s">
        <v>88</v>
      </c>
      <c r="C27" s="272" t="s">
        <v>92</v>
      </c>
      <c r="D27" s="272"/>
      <c r="E27" s="69" t="s">
        <v>110</v>
      </c>
      <c r="F27" s="69" t="s">
        <v>94</v>
      </c>
      <c r="G27" s="70" t="s">
        <v>18</v>
      </c>
      <c r="H27" s="69" t="s">
        <v>121</v>
      </c>
    </row>
    <row r="28" spans="2:11" ht="25.5" customHeight="1" x14ac:dyDescent="0.2">
      <c r="B28" s="71">
        <v>44953</v>
      </c>
      <c r="C28" s="290" t="s">
        <v>122</v>
      </c>
      <c r="D28" s="280"/>
      <c r="E28" s="73">
        <v>38</v>
      </c>
      <c r="F28" s="74">
        <v>3.5</v>
      </c>
      <c r="G28" s="75">
        <v>0.1</v>
      </c>
      <c r="H28" s="73">
        <f>E28*F28</f>
        <v>133</v>
      </c>
    </row>
    <row r="29" spans="2:11" ht="14.25" x14ac:dyDescent="0.2">
      <c r="B29" s="76"/>
      <c r="C29" s="286"/>
      <c r="D29" s="287"/>
      <c r="E29" s="77"/>
      <c r="F29" s="103"/>
      <c r="G29" s="103"/>
      <c r="H29" s="77"/>
    </row>
    <row r="30" spans="2:11" ht="30" customHeight="1" x14ac:dyDescent="0.2">
      <c r="B30" s="72"/>
      <c r="C30" s="290"/>
      <c r="D30" s="280"/>
      <c r="E30" s="63"/>
      <c r="F30" s="79" t="s">
        <v>97</v>
      </c>
      <c r="G30" s="79"/>
      <c r="H30" s="80">
        <f>SUM(H28:H29)</f>
        <v>133</v>
      </c>
    </row>
    <row r="31" spans="2:11" ht="30" customHeight="1" x14ac:dyDescent="0.2">
      <c r="B31" s="72"/>
      <c r="C31" s="72"/>
      <c r="D31" s="67"/>
      <c r="E31" s="63"/>
      <c r="F31" s="79" t="s">
        <v>98</v>
      </c>
      <c r="G31" s="79"/>
      <c r="H31" s="80">
        <f>H28*0.1</f>
        <v>13.3</v>
      </c>
    </row>
    <row r="32" spans="2:11" ht="30" customHeight="1" x14ac:dyDescent="0.2">
      <c r="B32" s="72"/>
      <c r="C32" s="290"/>
      <c r="D32" s="280"/>
      <c r="E32" s="63"/>
      <c r="F32" s="81" t="s">
        <v>99</v>
      </c>
      <c r="G32" s="81"/>
      <c r="H32" s="82">
        <v>0</v>
      </c>
    </row>
    <row r="33" spans="1:12" ht="30" customHeight="1" x14ac:dyDescent="0.25">
      <c r="B33" s="83"/>
      <c r="C33" s="291"/>
      <c r="D33" s="278"/>
      <c r="E33" s="84"/>
      <c r="F33" s="85" t="s">
        <v>100</v>
      </c>
      <c r="G33" s="85"/>
      <c r="H33" s="86">
        <f>SUM(H30:H32)</f>
        <v>146.30000000000001</v>
      </c>
    </row>
    <row r="34" spans="1:12" ht="30" customHeight="1" x14ac:dyDescent="0.25">
      <c r="B34" s="83"/>
      <c r="C34" s="83"/>
      <c r="E34" s="84"/>
      <c r="F34" s="85"/>
      <c r="G34" s="85"/>
      <c r="H34" s="87"/>
    </row>
    <row r="35" spans="1:12" ht="30" customHeight="1" x14ac:dyDescent="0.25">
      <c r="B35" s="83"/>
      <c r="C35" s="83"/>
      <c r="E35" s="84"/>
      <c r="F35" s="85"/>
      <c r="G35" s="85"/>
      <c r="H35" s="86"/>
      <c r="L35" s="113"/>
    </row>
    <row r="36" spans="1:12" ht="30" customHeight="1" x14ac:dyDescent="0.25">
      <c r="B36" s="83"/>
      <c r="C36" s="83"/>
      <c r="E36" s="84"/>
      <c r="F36" s="85"/>
      <c r="G36" s="85"/>
      <c r="H36" s="86"/>
    </row>
    <row r="37" spans="1:12" ht="30" customHeight="1" x14ac:dyDescent="0.25">
      <c r="B37" s="83"/>
      <c r="C37" s="83"/>
      <c r="E37" s="84"/>
      <c r="F37" s="85"/>
      <c r="G37" s="85"/>
      <c r="H37" s="86"/>
    </row>
    <row r="38" spans="1:12" ht="30" customHeight="1" x14ac:dyDescent="0.25">
      <c r="B38" s="83"/>
      <c r="C38" s="83"/>
      <c r="E38" s="84"/>
      <c r="F38" s="85"/>
      <c r="G38" s="85"/>
      <c r="H38" s="86"/>
    </row>
    <row r="39" spans="1:12" ht="30" customHeight="1" x14ac:dyDescent="0.25">
      <c r="B39" s="83"/>
      <c r="C39" s="83"/>
      <c r="E39" s="84"/>
      <c r="F39" s="85"/>
      <c r="G39" s="85"/>
      <c r="H39" s="86"/>
    </row>
    <row r="40" spans="1:12" ht="30" customHeight="1" x14ac:dyDescent="0.25">
      <c r="B40" s="83"/>
      <c r="C40" s="83"/>
      <c r="E40" s="84"/>
      <c r="F40" s="85"/>
      <c r="G40" s="85"/>
      <c r="H40" s="86"/>
    </row>
    <row r="41" spans="1:12" ht="30" customHeight="1" x14ac:dyDescent="0.2">
      <c r="B41" s="83"/>
      <c r="C41" s="88"/>
      <c r="D41" s="292" t="s">
        <v>101</v>
      </c>
      <c r="E41" s="292"/>
      <c r="F41" s="292"/>
      <c r="G41" s="89"/>
      <c r="H41" s="90"/>
    </row>
    <row r="42" spans="1:12" ht="12.75" customHeight="1" x14ac:dyDescent="0.2"/>
    <row r="43" spans="1:12" ht="12.75" x14ac:dyDescent="0.2">
      <c r="A43" s="53"/>
      <c r="B43" s="91" t="s">
        <v>102</v>
      </c>
      <c r="C43" s="92"/>
      <c r="D43" s="92"/>
      <c r="E43" s="300" t="s">
        <v>103</v>
      </c>
      <c r="F43" s="300"/>
      <c r="G43" s="300"/>
      <c r="H43" s="300"/>
      <c r="I43" s="106"/>
    </row>
    <row r="44" spans="1:12" ht="14.25" customHeight="1" x14ac:dyDescent="0.2">
      <c r="A44" s="53"/>
      <c r="B44" s="94" t="s">
        <v>104</v>
      </c>
      <c r="C44" s="53"/>
      <c r="D44" s="53"/>
      <c r="E44" s="283">
        <f>H33</f>
        <v>146.30000000000001</v>
      </c>
      <c r="F44" s="283"/>
      <c r="G44" s="283"/>
      <c r="H44" s="283"/>
      <c r="I44" s="106"/>
    </row>
    <row r="45" spans="1:12" ht="14.25" x14ac:dyDescent="0.2">
      <c r="A45" s="53"/>
      <c r="B45" s="94" t="s">
        <v>105</v>
      </c>
      <c r="C45" s="53"/>
      <c r="D45" s="53"/>
      <c r="E45" s="283"/>
      <c r="F45" s="283"/>
      <c r="G45" s="283"/>
      <c r="H45" s="283"/>
      <c r="I45" s="106"/>
    </row>
    <row r="46" spans="1:12" ht="14.25" x14ac:dyDescent="0.2">
      <c r="A46" s="53"/>
      <c r="B46" s="94" t="s">
        <v>106</v>
      </c>
      <c r="C46" s="53"/>
      <c r="D46" s="53"/>
      <c r="E46" s="95"/>
      <c r="F46" s="95"/>
      <c r="G46" s="95"/>
      <c r="H46" s="95"/>
      <c r="I46" s="95"/>
    </row>
    <row r="47" spans="1:12" ht="14.25" x14ac:dyDescent="0.2">
      <c r="A47" s="53"/>
      <c r="B47" s="94" t="s">
        <v>107</v>
      </c>
      <c r="C47" s="96"/>
      <c r="D47" s="96"/>
      <c r="E47" s="97"/>
      <c r="F47" s="97"/>
      <c r="G47" s="97"/>
      <c r="H47" s="97"/>
      <c r="I47" s="95"/>
    </row>
    <row r="48" spans="1:12" ht="53.25" customHeight="1" x14ac:dyDescent="0.2">
      <c r="B48" s="284"/>
      <c r="C48" s="278"/>
      <c r="D48" s="278"/>
      <c r="E48" s="278"/>
      <c r="F48" s="278"/>
      <c r="G48" s="278"/>
      <c r="H48" s="278"/>
    </row>
    <row r="52" spans="6:7" ht="15.75" customHeight="1" x14ac:dyDescent="0.2">
      <c r="F52" s="62"/>
      <c r="G52" s="62"/>
    </row>
    <row r="53" spans="6:7" ht="15.75" customHeight="1" x14ac:dyDescent="0.2">
      <c r="F53" s="62"/>
      <c r="G53" s="62"/>
    </row>
    <row r="54" spans="6:7" ht="15.75" customHeight="1" x14ac:dyDescent="0.2">
      <c r="F54" s="62"/>
      <c r="G54" s="62"/>
    </row>
    <row r="57" spans="6:7" ht="15.75" customHeight="1" x14ac:dyDescent="0.2">
      <c r="F57" s="62"/>
      <c r="G57" s="62"/>
    </row>
    <row r="59" spans="6:7" ht="15.75" customHeight="1" x14ac:dyDescent="0.2">
      <c r="F59" s="62"/>
      <c r="G59" s="62"/>
    </row>
  </sheetData>
  <mergeCells count="21">
    <mergeCell ref="E43:H43"/>
    <mergeCell ref="E44:H45"/>
    <mergeCell ref="B48:H48"/>
    <mergeCell ref="C28:D28"/>
    <mergeCell ref="C29:D29"/>
    <mergeCell ref="C30:D30"/>
    <mergeCell ref="C32:D32"/>
    <mergeCell ref="C33:D33"/>
    <mergeCell ref="D41:F41"/>
    <mergeCell ref="C27:D27"/>
    <mergeCell ref="E3:H3"/>
    <mergeCell ref="B4:D6"/>
    <mergeCell ref="E4:H4"/>
    <mergeCell ref="E5:H5"/>
    <mergeCell ref="E6:H6"/>
    <mergeCell ref="B9:H9"/>
    <mergeCell ref="B18:E18"/>
    <mergeCell ref="B19:E19"/>
    <mergeCell ref="B20:E20"/>
    <mergeCell ref="B23:E23"/>
    <mergeCell ref="B24:H24"/>
  </mergeCells>
  <conditionalFormatting sqref="B26">
    <cfRule type="notContainsBlanks" dxfId="15" priority="1">
      <formula>LEN(TRIM(B26))&gt;0</formula>
    </cfRule>
  </conditionalFormatting>
  <hyperlinks>
    <hyperlink ref="B12" r:id="rId1" xr:uid="{5E11248D-E057-428C-9231-37E76AE24B27}"/>
  </hyperlinks>
  <pageMargins left="0.13" right="0.09" top="0.36" bottom="0.16" header="0.3" footer="0.18"/>
  <pageSetup paperSize="9" scale="81" orientation="portrait" r:id="rId2"/>
  <drawing r:id="rId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110C5-81C4-464C-B4CA-AB47E7315097}">
  <sheetPr codeName="Sheet59">
    <tabColor theme="8" tint="0.39997558519241921"/>
    <outlinePr summaryBelow="0" summaryRight="0"/>
    <pageSetUpPr fitToPage="1"/>
  </sheetPr>
  <dimension ref="A1:L59"/>
  <sheetViews>
    <sheetView showGridLines="0" topLeftCell="A2" workbookViewId="0">
      <selection activeCell="H11" sqref="H11"/>
    </sheetView>
  </sheetViews>
  <sheetFormatPr defaultColWidth="14.42578125" defaultRowHeight="15.75" customHeight="1" x14ac:dyDescent="0.2"/>
  <cols>
    <col min="1" max="1" width="3.42578125" style="55" customWidth="1"/>
    <col min="2" max="3" width="14.42578125" style="55"/>
    <col min="4" max="4" width="24.28515625" style="55" customWidth="1"/>
    <col min="5" max="5" width="18.140625" style="55" bestFit="1" customWidth="1"/>
    <col min="6" max="6" width="16.42578125" style="55" customWidth="1"/>
    <col min="7" max="7" width="13.28515625" style="55" customWidth="1"/>
    <col min="8" max="8" width="16.42578125" style="55" customWidth="1"/>
    <col min="9" max="9" width="2.42578125" style="55" customWidth="1"/>
    <col min="10" max="16384" width="14.42578125" style="55"/>
  </cols>
  <sheetData>
    <row r="1" spans="1:10" ht="39" customHeight="1" x14ac:dyDescent="0.2">
      <c r="A1" s="53"/>
      <c r="B1" s="54"/>
      <c r="C1" s="54"/>
      <c r="D1" s="54"/>
      <c r="E1" s="54"/>
      <c r="F1" s="54"/>
      <c r="G1" s="54"/>
      <c r="H1" s="54"/>
      <c r="I1" s="54"/>
    </row>
    <row r="2" spans="1:10" x14ac:dyDescent="0.25">
      <c r="A2" s="53"/>
      <c r="B2" s="56"/>
      <c r="C2" s="56"/>
      <c r="D2" s="56"/>
      <c r="E2" s="57"/>
      <c r="F2" s="57"/>
      <c r="G2" s="57"/>
      <c r="H2" s="57"/>
      <c r="I2" s="56"/>
    </row>
    <row r="3" spans="1:10" ht="12.75" x14ac:dyDescent="0.2">
      <c r="A3" s="53"/>
      <c r="B3" s="56"/>
      <c r="C3" s="56"/>
      <c r="D3" s="56"/>
      <c r="E3" s="273"/>
      <c r="F3" s="274"/>
      <c r="G3" s="274"/>
      <c r="H3" s="274"/>
      <c r="I3" s="56"/>
    </row>
    <row r="4" spans="1:10" ht="12.75" x14ac:dyDescent="0.2">
      <c r="A4" s="53"/>
      <c r="B4" s="275" t="s">
        <v>83</v>
      </c>
      <c r="C4" s="276"/>
      <c r="D4" s="276"/>
      <c r="E4" s="277"/>
      <c r="F4" s="274"/>
      <c r="G4" s="274"/>
      <c r="H4" s="274"/>
      <c r="I4" s="56"/>
    </row>
    <row r="5" spans="1:10" ht="12.75" x14ac:dyDescent="0.2">
      <c r="A5" s="53"/>
      <c r="B5" s="276"/>
      <c r="C5" s="276"/>
      <c r="D5" s="276"/>
      <c r="E5" s="277"/>
      <c r="F5" s="274"/>
      <c r="G5" s="274"/>
      <c r="H5" s="274"/>
      <c r="I5" s="56"/>
    </row>
    <row r="6" spans="1:10" ht="12.75" x14ac:dyDescent="0.2">
      <c r="A6" s="53"/>
      <c r="B6" s="276"/>
      <c r="C6" s="276"/>
      <c r="D6" s="276"/>
      <c r="E6" s="277"/>
      <c r="F6" s="274"/>
      <c r="G6" s="274"/>
      <c r="H6" s="274"/>
      <c r="I6" s="56"/>
    </row>
    <row r="7" spans="1:10" ht="36.75" customHeight="1" x14ac:dyDescent="0.2">
      <c r="A7" s="53"/>
      <c r="B7" s="54"/>
      <c r="C7" s="54"/>
      <c r="D7" s="54"/>
      <c r="E7" s="54"/>
      <c r="F7" s="54"/>
      <c r="G7" s="54"/>
      <c r="H7" s="54"/>
      <c r="I7" s="54"/>
    </row>
    <row r="8" spans="1:10" ht="21.75" customHeight="1" x14ac:dyDescent="0.2">
      <c r="B8" s="58"/>
      <c r="C8" s="58"/>
      <c r="D8" s="58"/>
      <c r="E8" s="58"/>
      <c r="F8" s="58"/>
      <c r="G8" s="58"/>
      <c r="H8" s="58"/>
      <c r="I8" s="58"/>
      <c r="J8" s="59"/>
    </row>
    <row r="9" spans="1:10" ht="15.75" customHeight="1" x14ac:dyDescent="0.2">
      <c r="B9" s="278"/>
      <c r="C9" s="278"/>
      <c r="D9" s="278"/>
      <c r="E9" s="278"/>
      <c r="F9" s="278"/>
      <c r="G9" s="278"/>
      <c r="H9" s="278"/>
    </row>
    <row r="10" spans="1:10" ht="15" customHeight="1" x14ac:dyDescent="0.2">
      <c r="B10" s="60" t="s">
        <v>84</v>
      </c>
      <c r="G10" s="60"/>
      <c r="H10" s="61" t="s">
        <v>85</v>
      </c>
    </row>
    <row r="11" spans="1:10" ht="14.25" x14ac:dyDescent="0.2">
      <c r="B11" s="62" t="s">
        <v>86</v>
      </c>
      <c r="G11" s="62"/>
      <c r="H11" s="63" t="str">
        <f>"KW"&amp;J11</f>
        <v>KW203</v>
      </c>
      <c r="J11" s="55">
        <v>203</v>
      </c>
    </row>
    <row r="12" spans="1:10" ht="15" x14ac:dyDescent="0.2">
      <c r="B12" s="62" t="s">
        <v>87</v>
      </c>
      <c r="G12" s="60"/>
      <c r="H12" s="61" t="s">
        <v>88</v>
      </c>
      <c r="J12" s="55">
        <v>7</v>
      </c>
    </row>
    <row r="13" spans="1:10" ht="14.25" x14ac:dyDescent="0.2">
      <c r="B13" s="62"/>
      <c r="G13" s="64"/>
      <c r="H13" s="65">
        <v>44954</v>
      </c>
    </row>
    <row r="14" spans="1:10" ht="15" x14ac:dyDescent="0.2">
      <c r="G14" s="60"/>
      <c r="H14" s="61" t="s">
        <v>89</v>
      </c>
    </row>
    <row r="15" spans="1:10" ht="14.25" x14ac:dyDescent="0.2">
      <c r="G15" s="64"/>
      <c r="H15" s="65">
        <f>H13+J12</f>
        <v>44961</v>
      </c>
    </row>
    <row r="16" spans="1:10" ht="14.25" x14ac:dyDescent="0.2">
      <c r="B16" s="62"/>
      <c r="F16" s="65"/>
      <c r="G16" s="65"/>
      <c r="H16" s="65"/>
    </row>
    <row r="17" spans="2:12" ht="14.25" x14ac:dyDescent="0.2">
      <c r="F17" s="65"/>
      <c r="G17" s="65"/>
      <c r="H17" s="66"/>
    </row>
    <row r="18" spans="2:12" ht="22.5" customHeight="1" x14ac:dyDescent="0.2">
      <c r="B18" s="279" t="s">
        <v>90</v>
      </c>
      <c r="C18" s="280"/>
      <c r="D18" s="280"/>
      <c r="E18" s="280"/>
      <c r="F18" s="65"/>
      <c r="G18" s="65"/>
      <c r="H18" s="66"/>
    </row>
    <row r="19" spans="2:12" ht="15" x14ac:dyDescent="0.2">
      <c r="B19" s="279" t="s">
        <v>39</v>
      </c>
      <c r="C19" s="280"/>
      <c r="D19" s="280"/>
      <c r="E19" s="280"/>
      <c r="F19" s="65"/>
      <c r="G19" s="65"/>
      <c r="H19" s="66"/>
    </row>
    <row r="20" spans="2:12" ht="14.25" x14ac:dyDescent="0.2">
      <c r="B20" s="282" t="s">
        <v>127</v>
      </c>
      <c r="C20" s="280"/>
      <c r="D20" s="280"/>
      <c r="E20" s="280"/>
      <c r="F20" s="65"/>
      <c r="G20" s="65"/>
      <c r="H20" s="66"/>
    </row>
    <row r="21" spans="2:12" ht="14.25" x14ac:dyDescent="0.2">
      <c r="B21" s="62"/>
      <c r="C21" s="67"/>
      <c r="D21" s="67"/>
      <c r="E21" s="67"/>
      <c r="F21" s="65"/>
      <c r="G21" s="65"/>
      <c r="H21" s="66"/>
    </row>
    <row r="22" spans="2:12" ht="14.25" x14ac:dyDescent="0.2">
      <c r="B22" s="62"/>
      <c r="C22" s="67"/>
      <c r="D22" s="67"/>
      <c r="E22" s="67"/>
      <c r="F22" s="65"/>
      <c r="G22" s="65"/>
      <c r="H22" s="66"/>
    </row>
    <row r="23" spans="2:12" ht="22.5" customHeight="1" x14ac:dyDescent="0.2">
      <c r="B23" s="282"/>
      <c r="C23" s="280"/>
      <c r="D23" s="280"/>
      <c r="E23" s="280"/>
      <c r="F23" s="67"/>
      <c r="G23" s="67"/>
      <c r="H23" s="67"/>
    </row>
    <row r="24" spans="2:12" ht="27.75" customHeight="1" x14ac:dyDescent="0.2">
      <c r="B24" s="280"/>
      <c r="C24" s="280"/>
      <c r="D24" s="280"/>
      <c r="E24" s="280"/>
      <c r="F24" s="280"/>
      <c r="G24" s="280"/>
      <c r="H24" s="280"/>
    </row>
    <row r="25" spans="2:12" ht="27.75" customHeight="1" x14ac:dyDescent="0.2">
      <c r="B25" s="67"/>
      <c r="C25" s="67"/>
      <c r="D25" s="67"/>
      <c r="E25" s="67"/>
      <c r="F25" s="67"/>
      <c r="G25" s="67"/>
      <c r="H25" s="67"/>
    </row>
    <row r="26" spans="2:12" ht="15.75" customHeight="1" x14ac:dyDescent="0.2">
      <c r="B26" s="67"/>
      <c r="C26" s="67"/>
      <c r="D26" s="67"/>
      <c r="E26" s="67"/>
      <c r="F26" s="67"/>
      <c r="G26" s="67"/>
      <c r="H26" s="67"/>
    </row>
    <row r="27" spans="2:12" ht="15" x14ac:dyDescent="0.25">
      <c r="B27" s="68" t="s">
        <v>88</v>
      </c>
      <c r="C27" s="272" t="s">
        <v>92</v>
      </c>
      <c r="D27" s="272"/>
      <c r="E27" s="69" t="s">
        <v>110</v>
      </c>
      <c r="F27" s="69" t="s">
        <v>94</v>
      </c>
      <c r="G27" s="70" t="s">
        <v>18</v>
      </c>
      <c r="H27" s="69" t="s">
        <v>121</v>
      </c>
    </row>
    <row r="28" spans="2:12" ht="25.5" customHeight="1" x14ac:dyDescent="0.25">
      <c r="B28" s="71">
        <v>44953</v>
      </c>
      <c r="C28" s="290" t="s">
        <v>122</v>
      </c>
      <c r="D28" s="280"/>
      <c r="E28" s="73">
        <v>36</v>
      </c>
      <c r="F28" s="74">
        <v>3</v>
      </c>
      <c r="G28" s="75">
        <v>0.1</v>
      </c>
      <c r="H28" s="73">
        <f>E28*F28</f>
        <v>108</v>
      </c>
      <c r="K28" s="112"/>
    </row>
    <row r="29" spans="2:12" ht="30" customHeight="1" x14ac:dyDescent="0.2">
      <c r="B29" s="76"/>
      <c r="C29" s="286"/>
      <c r="D29" s="287"/>
      <c r="E29" s="77"/>
      <c r="F29" s="103"/>
      <c r="G29" s="103"/>
      <c r="H29" s="77"/>
    </row>
    <row r="30" spans="2:12" ht="30" customHeight="1" x14ac:dyDescent="0.2">
      <c r="B30" s="72"/>
      <c r="C30" s="290"/>
      <c r="D30" s="280"/>
      <c r="E30" s="63"/>
      <c r="F30" s="79" t="s">
        <v>97</v>
      </c>
      <c r="G30" s="79"/>
      <c r="H30" s="80">
        <f>SUM(H28:H29)</f>
        <v>108</v>
      </c>
    </row>
    <row r="31" spans="2:12" ht="30" customHeight="1" x14ac:dyDescent="0.2">
      <c r="B31" s="72"/>
      <c r="C31" s="72"/>
      <c r="D31" s="67"/>
      <c r="E31" s="63"/>
      <c r="F31" s="79" t="s">
        <v>98</v>
      </c>
      <c r="G31" s="79"/>
      <c r="H31" s="80">
        <f>H28*0.1</f>
        <v>10.8</v>
      </c>
      <c r="L31" s="113"/>
    </row>
    <row r="32" spans="2:12" ht="30" customHeight="1" x14ac:dyDescent="0.2">
      <c r="B32" s="72"/>
      <c r="C32" s="290"/>
      <c r="D32" s="280"/>
      <c r="E32" s="63"/>
      <c r="F32" s="81" t="s">
        <v>99</v>
      </c>
      <c r="G32" s="81"/>
      <c r="H32" s="82">
        <v>0</v>
      </c>
    </row>
    <row r="33" spans="1:12" ht="30" customHeight="1" x14ac:dyDescent="0.25">
      <c r="B33" s="83"/>
      <c r="C33" s="291"/>
      <c r="D33" s="278"/>
      <c r="E33" s="84"/>
      <c r="F33" s="85" t="s">
        <v>100</v>
      </c>
      <c r="G33" s="85"/>
      <c r="H33" s="86">
        <f>SUM(H30:H32)</f>
        <v>118.8</v>
      </c>
    </row>
    <row r="34" spans="1:12" ht="30" customHeight="1" x14ac:dyDescent="0.25">
      <c r="B34" s="83"/>
      <c r="C34" s="83"/>
      <c r="E34" s="84"/>
      <c r="F34" s="85"/>
      <c r="G34" s="85"/>
      <c r="H34" s="87"/>
    </row>
    <row r="35" spans="1:12" ht="30" customHeight="1" x14ac:dyDescent="0.25">
      <c r="B35" s="83"/>
      <c r="C35" s="83"/>
      <c r="E35" s="84"/>
      <c r="F35" s="85"/>
      <c r="G35" s="85"/>
      <c r="H35" s="86"/>
      <c r="L35" s="113"/>
    </row>
    <row r="36" spans="1:12" ht="30" customHeight="1" x14ac:dyDescent="0.25">
      <c r="B36" s="83"/>
      <c r="C36" s="83"/>
      <c r="E36" s="84"/>
      <c r="F36" s="85"/>
      <c r="G36" s="85"/>
      <c r="H36" s="86"/>
    </row>
    <row r="37" spans="1:12" ht="30" customHeight="1" x14ac:dyDescent="0.25">
      <c r="B37" s="83"/>
      <c r="C37" s="83"/>
      <c r="E37" s="84"/>
      <c r="F37" s="85"/>
      <c r="G37" s="85"/>
      <c r="H37" s="86"/>
    </row>
    <row r="38" spans="1:12" ht="30" customHeight="1" x14ac:dyDescent="0.25">
      <c r="B38" s="83"/>
      <c r="C38" s="83"/>
      <c r="E38" s="84"/>
      <c r="F38" s="85"/>
      <c r="G38" s="85"/>
      <c r="H38" s="86"/>
    </row>
    <row r="39" spans="1:12" ht="30" customHeight="1" x14ac:dyDescent="0.25">
      <c r="B39" s="83"/>
      <c r="C39" s="83"/>
      <c r="E39" s="84"/>
      <c r="F39" s="85"/>
      <c r="G39" s="85"/>
      <c r="H39" s="86"/>
    </row>
    <row r="40" spans="1:12" ht="30" customHeight="1" x14ac:dyDescent="0.25">
      <c r="B40" s="83"/>
      <c r="C40" s="83"/>
      <c r="E40" s="84"/>
      <c r="F40" s="85"/>
      <c r="G40" s="85"/>
      <c r="H40" s="86"/>
    </row>
    <row r="41" spans="1:12" ht="30" customHeight="1" x14ac:dyDescent="0.2">
      <c r="B41" s="83"/>
      <c r="C41" s="88"/>
      <c r="D41" s="292" t="s">
        <v>101</v>
      </c>
      <c r="E41" s="292"/>
      <c r="F41" s="292"/>
      <c r="G41" s="89"/>
      <c r="H41" s="90"/>
    </row>
    <row r="42" spans="1:12" ht="12.75" customHeight="1" x14ac:dyDescent="0.2"/>
    <row r="43" spans="1:12" ht="12.75" x14ac:dyDescent="0.2">
      <c r="A43" s="53"/>
      <c r="B43" s="91" t="s">
        <v>102</v>
      </c>
      <c r="C43" s="92"/>
      <c r="D43" s="92"/>
      <c r="E43" s="300" t="s">
        <v>103</v>
      </c>
      <c r="F43" s="300"/>
      <c r="G43" s="300"/>
      <c r="H43" s="300"/>
      <c r="I43" s="106"/>
    </row>
    <row r="44" spans="1:12" ht="14.25" customHeight="1" x14ac:dyDescent="0.2">
      <c r="A44" s="53"/>
      <c r="B44" s="94" t="s">
        <v>104</v>
      </c>
      <c r="C44" s="53"/>
      <c r="D44" s="53"/>
      <c r="E44" s="283">
        <f>H33</f>
        <v>118.8</v>
      </c>
      <c r="F44" s="283"/>
      <c r="G44" s="283"/>
      <c r="H44" s="283"/>
      <c r="I44" s="106"/>
    </row>
    <row r="45" spans="1:12" ht="14.25" x14ac:dyDescent="0.2">
      <c r="A45" s="53"/>
      <c r="B45" s="94" t="s">
        <v>105</v>
      </c>
      <c r="C45" s="53"/>
      <c r="D45" s="53"/>
      <c r="E45" s="283"/>
      <c r="F45" s="283"/>
      <c r="G45" s="283"/>
      <c r="H45" s="283"/>
      <c r="I45" s="106"/>
    </row>
    <row r="46" spans="1:12" ht="14.25" x14ac:dyDescent="0.2">
      <c r="A46" s="53"/>
      <c r="B46" s="94" t="s">
        <v>106</v>
      </c>
      <c r="C46" s="53"/>
      <c r="D46" s="53"/>
      <c r="E46" s="95"/>
      <c r="F46" s="95"/>
      <c r="G46" s="95"/>
      <c r="H46" s="95"/>
      <c r="I46" s="95"/>
    </row>
    <row r="47" spans="1:12" ht="14.25" x14ac:dyDescent="0.2">
      <c r="A47" s="53"/>
      <c r="B47" s="94" t="s">
        <v>107</v>
      </c>
      <c r="C47" s="96"/>
      <c r="D47" s="96"/>
      <c r="E47" s="97"/>
      <c r="F47" s="97"/>
      <c r="G47" s="97"/>
      <c r="H47" s="97"/>
      <c r="I47" s="95"/>
    </row>
    <row r="48" spans="1:12" ht="53.25" customHeight="1" x14ac:dyDescent="0.2">
      <c r="B48" s="284"/>
      <c r="C48" s="278"/>
      <c r="D48" s="278"/>
      <c r="E48" s="278"/>
      <c r="F48" s="278"/>
      <c r="G48" s="278"/>
      <c r="H48" s="278"/>
    </row>
    <row r="52" spans="6:7" ht="15.75" customHeight="1" x14ac:dyDescent="0.2">
      <c r="F52" s="62"/>
      <c r="G52" s="62"/>
    </row>
    <row r="53" spans="6:7" ht="15.75" customHeight="1" x14ac:dyDescent="0.2">
      <c r="F53" s="62"/>
      <c r="G53" s="62"/>
    </row>
    <row r="54" spans="6:7" ht="15.75" customHeight="1" x14ac:dyDescent="0.2">
      <c r="F54" s="62"/>
      <c r="G54" s="62"/>
    </row>
    <row r="57" spans="6:7" ht="15.75" customHeight="1" x14ac:dyDescent="0.2">
      <c r="F57" s="62"/>
      <c r="G57" s="62"/>
    </row>
    <row r="59" spans="6:7" ht="15.75" customHeight="1" x14ac:dyDescent="0.2">
      <c r="F59" s="62"/>
      <c r="G59" s="62"/>
    </row>
  </sheetData>
  <mergeCells count="21">
    <mergeCell ref="E43:H43"/>
    <mergeCell ref="E44:H45"/>
    <mergeCell ref="B48:H48"/>
    <mergeCell ref="C28:D28"/>
    <mergeCell ref="C29:D29"/>
    <mergeCell ref="C30:D30"/>
    <mergeCell ref="C32:D32"/>
    <mergeCell ref="C33:D33"/>
    <mergeCell ref="D41:F41"/>
    <mergeCell ref="C27:D27"/>
    <mergeCell ref="E3:H3"/>
    <mergeCell ref="B4:D6"/>
    <mergeCell ref="E4:H4"/>
    <mergeCell ref="E5:H5"/>
    <mergeCell ref="E6:H6"/>
    <mergeCell ref="B9:H9"/>
    <mergeCell ref="B18:E18"/>
    <mergeCell ref="B19:E19"/>
    <mergeCell ref="B20:E20"/>
    <mergeCell ref="B23:E23"/>
    <mergeCell ref="B24:H24"/>
  </mergeCells>
  <conditionalFormatting sqref="B26">
    <cfRule type="notContainsBlanks" dxfId="14" priority="1">
      <formula>LEN(TRIM(B26))&gt;0</formula>
    </cfRule>
  </conditionalFormatting>
  <hyperlinks>
    <hyperlink ref="B12" r:id="rId1" xr:uid="{83D561A3-E200-4979-AD91-D2E22FFA72F3}"/>
  </hyperlinks>
  <pageMargins left="0.13" right="0.09" top="0.36" bottom="0.16" header="0.3" footer="0.18"/>
  <pageSetup paperSize="9" scale="83" orientation="portrait" r:id="rId2"/>
  <drawing r:id="rId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0AAE40-185F-43DD-A972-C59F47C109A8}">
  <sheetPr codeName="Sheet47">
    <tabColor theme="8" tint="0.39997558519241921"/>
    <outlinePr summaryBelow="0" summaryRight="0"/>
    <pageSetUpPr fitToPage="1"/>
  </sheetPr>
  <dimension ref="A1:J58"/>
  <sheetViews>
    <sheetView showGridLines="0" topLeftCell="A7" zoomScale="130" zoomScaleNormal="130" workbookViewId="0">
      <selection activeCell="H11" sqref="H11"/>
    </sheetView>
  </sheetViews>
  <sheetFormatPr defaultColWidth="14.42578125" defaultRowHeight="15.75" customHeight="1" x14ac:dyDescent="0.2"/>
  <cols>
    <col min="1" max="1" width="2.85546875" style="55" customWidth="1"/>
    <col min="2" max="3" width="14.42578125" style="55"/>
    <col min="4" max="4" width="26.42578125" style="55" customWidth="1"/>
    <col min="5" max="5" width="18.140625" style="55" bestFit="1" customWidth="1"/>
    <col min="6" max="6" width="15.140625" style="55" customWidth="1"/>
    <col min="7" max="7" width="9.7109375" style="55" customWidth="1"/>
    <col min="8" max="8" width="13.7109375" style="55" bestFit="1" customWidth="1"/>
    <col min="9" max="9" width="3.28515625" style="55" customWidth="1"/>
    <col min="10" max="16384" width="14.42578125" style="55"/>
  </cols>
  <sheetData>
    <row r="1" spans="1:10" ht="39" customHeight="1" x14ac:dyDescent="0.2">
      <c r="A1" s="54"/>
      <c r="B1" s="54"/>
      <c r="C1" s="54"/>
      <c r="D1" s="54"/>
      <c r="E1" s="54"/>
      <c r="F1" s="54"/>
      <c r="G1" s="54"/>
      <c r="H1" s="54"/>
      <c r="I1" s="54"/>
    </row>
    <row r="2" spans="1:10" x14ac:dyDescent="0.25">
      <c r="A2" s="54"/>
      <c r="B2" s="56"/>
      <c r="C2" s="56"/>
      <c r="D2" s="56"/>
      <c r="E2" s="57"/>
      <c r="F2" s="57"/>
      <c r="G2" s="57"/>
      <c r="H2" s="57"/>
      <c r="I2" s="56"/>
    </row>
    <row r="3" spans="1:10" ht="12.75" x14ac:dyDescent="0.2">
      <c r="A3" s="54"/>
      <c r="B3" s="56"/>
      <c r="C3" s="56"/>
      <c r="D3" s="56"/>
      <c r="E3" s="273"/>
      <c r="F3" s="274"/>
      <c r="G3" s="274"/>
      <c r="H3" s="274"/>
      <c r="I3" s="56"/>
    </row>
    <row r="4" spans="1:10" ht="12.75" x14ac:dyDescent="0.2">
      <c r="A4" s="54"/>
      <c r="B4" s="275" t="s">
        <v>83</v>
      </c>
      <c r="C4" s="276"/>
      <c r="D4" s="276"/>
      <c r="E4" s="277"/>
      <c r="F4" s="274"/>
      <c r="G4" s="274"/>
      <c r="H4" s="274"/>
      <c r="I4" s="56"/>
    </row>
    <row r="5" spans="1:10" ht="12.75" x14ac:dyDescent="0.2">
      <c r="A5" s="54"/>
      <c r="B5" s="276"/>
      <c r="C5" s="276"/>
      <c r="D5" s="276"/>
      <c r="E5" s="277"/>
      <c r="F5" s="274"/>
      <c r="G5" s="274"/>
      <c r="H5" s="274"/>
      <c r="I5" s="56"/>
    </row>
    <row r="6" spans="1:10" ht="12.75" x14ac:dyDescent="0.2">
      <c r="A6" s="54"/>
      <c r="B6" s="276"/>
      <c r="C6" s="276"/>
      <c r="D6" s="276"/>
      <c r="E6" s="277"/>
      <c r="F6" s="274"/>
      <c r="G6" s="274"/>
      <c r="H6" s="274"/>
      <c r="I6" s="56"/>
    </row>
    <row r="7" spans="1:10" ht="36.75" customHeight="1" x14ac:dyDescent="0.2">
      <c r="A7" s="54"/>
      <c r="B7" s="54"/>
      <c r="C7" s="54"/>
      <c r="D7" s="54"/>
      <c r="E7" s="54"/>
      <c r="F7" s="54"/>
      <c r="G7" s="54"/>
      <c r="H7" s="54"/>
      <c r="I7" s="54"/>
    </row>
    <row r="8" spans="1:10" ht="21.75" customHeight="1" x14ac:dyDescent="0.2">
      <c r="A8" s="58"/>
      <c r="B8" s="58"/>
      <c r="C8" s="58"/>
      <c r="D8" s="58"/>
      <c r="E8" s="58"/>
      <c r="F8" s="58"/>
      <c r="G8" s="58"/>
      <c r="H8" s="58"/>
      <c r="I8" s="58"/>
      <c r="J8" s="59"/>
    </row>
    <row r="9" spans="1:10" ht="15.75" customHeight="1" x14ac:dyDescent="0.2">
      <c r="B9" s="278"/>
      <c r="C9" s="278"/>
      <c r="D9" s="278"/>
      <c r="E9" s="278"/>
      <c r="F9" s="278"/>
      <c r="G9" s="278"/>
      <c r="H9" s="278"/>
    </row>
    <row r="10" spans="1:10" ht="15" customHeight="1" x14ac:dyDescent="0.2">
      <c r="A10" s="98"/>
      <c r="B10" s="60" t="s">
        <v>84</v>
      </c>
      <c r="G10" s="60"/>
      <c r="H10" s="61" t="s">
        <v>85</v>
      </c>
    </row>
    <row r="11" spans="1:10" ht="14.25" x14ac:dyDescent="0.2">
      <c r="A11" s="98"/>
      <c r="B11" s="62" t="s">
        <v>86</v>
      </c>
      <c r="G11" s="62"/>
      <c r="H11" s="63" t="str">
        <f>"KN"&amp;J11</f>
        <v>KN1005</v>
      </c>
      <c r="J11" s="55">
        <v>1005</v>
      </c>
    </row>
    <row r="12" spans="1:10" ht="15" x14ac:dyDescent="0.2">
      <c r="A12" s="98"/>
      <c r="B12" s="62" t="s">
        <v>87</v>
      </c>
      <c r="G12" s="60"/>
      <c r="H12" s="61" t="s">
        <v>88</v>
      </c>
      <c r="J12" s="55">
        <v>7</v>
      </c>
    </row>
    <row r="13" spans="1:10" ht="14.25" x14ac:dyDescent="0.2">
      <c r="A13" s="98"/>
      <c r="B13" s="62"/>
      <c r="G13" s="64"/>
      <c r="H13" s="65">
        <v>44954</v>
      </c>
    </row>
    <row r="14" spans="1:10" ht="15" x14ac:dyDescent="0.2">
      <c r="A14" s="98"/>
      <c r="G14" s="60"/>
      <c r="H14" s="61" t="s">
        <v>89</v>
      </c>
    </row>
    <row r="15" spans="1:10" ht="14.25" x14ac:dyDescent="0.2">
      <c r="A15" s="98"/>
      <c r="G15" s="64"/>
      <c r="H15" s="65">
        <f>H13+J12</f>
        <v>44961</v>
      </c>
      <c r="J15" s="139"/>
    </row>
    <row r="16" spans="1:10" ht="14.25" x14ac:dyDescent="0.2">
      <c r="A16" s="98"/>
      <c r="B16" s="62"/>
      <c r="G16" s="65"/>
      <c r="H16" s="65"/>
    </row>
    <row r="17" spans="1:8" ht="14.25" x14ac:dyDescent="0.2">
      <c r="A17" s="98"/>
      <c r="F17" s="65"/>
      <c r="G17" s="65"/>
      <c r="H17" s="66"/>
    </row>
    <row r="18" spans="1:8" ht="22.5" customHeight="1" x14ac:dyDescent="0.2">
      <c r="A18" s="98"/>
      <c r="B18" s="279" t="s">
        <v>90</v>
      </c>
      <c r="C18" s="280"/>
      <c r="D18" s="280"/>
      <c r="E18" s="280"/>
      <c r="F18" s="65"/>
      <c r="G18" s="65"/>
      <c r="H18" s="66"/>
    </row>
    <row r="19" spans="1:8" ht="15" x14ac:dyDescent="0.2">
      <c r="A19" s="98"/>
      <c r="B19" s="295" t="s">
        <v>73</v>
      </c>
      <c r="C19" s="296"/>
      <c r="D19" s="296"/>
      <c r="E19" s="296"/>
      <c r="F19" s="65"/>
      <c r="G19" s="65"/>
      <c r="H19" s="66"/>
    </row>
    <row r="20" spans="1:8" ht="14.25" x14ac:dyDescent="0.2">
      <c r="A20" s="98"/>
      <c r="B20" s="297" t="s">
        <v>247</v>
      </c>
      <c r="C20" s="296"/>
      <c r="D20" s="296"/>
      <c r="E20" s="296"/>
      <c r="F20" s="65"/>
      <c r="G20" s="65"/>
      <c r="H20" s="66"/>
    </row>
    <row r="21" spans="1:8" ht="14.25" x14ac:dyDescent="0.2">
      <c r="A21" s="98"/>
      <c r="B21" s="62"/>
      <c r="C21" s="67"/>
      <c r="D21" s="67"/>
      <c r="E21" s="67"/>
      <c r="F21" s="65"/>
      <c r="G21" s="65"/>
      <c r="H21" s="66"/>
    </row>
    <row r="22" spans="1:8" ht="14.25" x14ac:dyDescent="0.2">
      <c r="A22" s="98"/>
      <c r="B22" s="62"/>
      <c r="C22" s="67"/>
      <c r="D22" s="67"/>
      <c r="E22" s="67"/>
      <c r="F22" s="65"/>
      <c r="G22" s="65"/>
      <c r="H22" s="66"/>
    </row>
    <row r="23" spans="1:8" ht="22.5" customHeight="1" x14ac:dyDescent="0.2">
      <c r="A23" s="98"/>
      <c r="B23" s="282"/>
      <c r="C23" s="280"/>
      <c r="D23" s="280"/>
      <c r="E23" s="280"/>
      <c r="F23" s="67"/>
      <c r="G23" s="67"/>
      <c r="H23" s="67"/>
    </row>
    <row r="24" spans="1:8" ht="27.75" customHeight="1" x14ac:dyDescent="0.2">
      <c r="B24" s="280"/>
      <c r="C24" s="280"/>
      <c r="D24" s="280"/>
      <c r="E24" s="280"/>
      <c r="F24" s="280"/>
      <c r="G24" s="280"/>
      <c r="H24" s="280"/>
    </row>
    <row r="25" spans="1:8" ht="27.75" customHeight="1" x14ac:dyDescent="0.2">
      <c r="B25" s="67"/>
      <c r="C25" s="67"/>
      <c r="D25" s="67"/>
      <c r="E25" s="67"/>
      <c r="F25" s="67"/>
      <c r="G25" s="67"/>
      <c r="H25" s="67"/>
    </row>
    <row r="26" spans="1:8" ht="15.75" customHeight="1" x14ac:dyDescent="0.2">
      <c r="B26" s="67"/>
      <c r="C26" s="67"/>
      <c r="D26" s="67"/>
      <c r="E26" s="67"/>
      <c r="F26" s="67"/>
      <c r="G26" s="67"/>
      <c r="H26" s="67"/>
    </row>
    <row r="27" spans="1:8" ht="15" x14ac:dyDescent="0.25">
      <c r="B27" s="68" t="s">
        <v>88</v>
      </c>
      <c r="C27" s="272" t="s">
        <v>92</v>
      </c>
      <c r="D27" s="272"/>
      <c r="E27" s="70" t="s">
        <v>110</v>
      </c>
      <c r="F27" s="70" t="s">
        <v>111</v>
      </c>
      <c r="G27" s="70" t="s">
        <v>18</v>
      </c>
      <c r="H27" s="70" t="s">
        <v>95</v>
      </c>
    </row>
    <row r="28" spans="1:8" ht="27.75" customHeight="1" x14ac:dyDescent="0.2">
      <c r="B28" s="71">
        <v>44953</v>
      </c>
      <c r="C28" s="293" t="s">
        <v>122</v>
      </c>
      <c r="D28" s="294"/>
      <c r="E28" s="99">
        <v>40</v>
      </c>
      <c r="F28" s="108">
        <v>3</v>
      </c>
      <c r="G28" s="101">
        <v>0.1</v>
      </c>
      <c r="H28" s="99">
        <f>E28*F28</f>
        <v>120</v>
      </c>
    </row>
    <row r="29" spans="1:8" ht="19.5" customHeight="1" x14ac:dyDescent="0.2">
      <c r="B29" s="102"/>
      <c r="C29" s="286"/>
      <c r="D29" s="287"/>
      <c r="E29" s="77"/>
      <c r="F29" s="103"/>
      <c r="G29" s="103"/>
      <c r="H29" s="77"/>
    </row>
    <row r="30" spans="1:8" ht="30" customHeight="1" x14ac:dyDescent="0.2">
      <c r="B30" s="72"/>
      <c r="C30" s="290"/>
      <c r="D30" s="280"/>
      <c r="E30" s="63"/>
      <c r="F30" s="79"/>
      <c r="G30" s="79" t="s">
        <v>97</v>
      </c>
      <c r="H30" s="80">
        <f>SUM(H28:H29)</f>
        <v>120</v>
      </c>
    </row>
    <row r="31" spans="1:8" ht="30" customHeight="1" x14ac:dyDescent="0.2">
      <c r="B31" s="72"/>
      <c r="C31" s="72"/>
      <c r="D31" s="67"/>
      <c r="E31" s="63"/>
      <c r="F31" s="79"/>
      <c r="G31" s="79" t="s">
        <v>113</v>
      </c>
      <c r="H31" s="80">
        <f>G28*H28</f>
        <v>12</v>
      </c>
    </row>
    <row r="32" spans="1:8" ht="30" customHeight="1" x14ac:dyDescent="0.2">
      <c r="B32" s="72"/>
      <c r="C32" s="290"/>
      <c r="D32" s="280"/>
      <c r="E32" s="63"/>
      <c r="F32" s="81"/>
      <c r="G32" s="81" t="s">
        <v>99</v>
      </c>
      <c r="H32" s="82">
        <v>0</v>
      </c>
    </row>
    <row r="33" spans="1:9" ht="30" customHeight="1" x14ac:dyDescent="0.25">
      <c r="B33" s="83"/>
      <c r="C33" s="291"/>
      <c r="D33" s="278"/>
      <c r="E33" s="84"/>
      <c r="F33" s="85"/>
      <c r="G33" s="85" t="s">
        <v>100</v>
      </c>
      <c r="H33" s="86">
        <f>SUM(H30:H32)</f>
        <v>132</v>
      </c>
    </row>
    <row r="34" spans="1:9" ht="30" customHeight="1" x14ac:dyDescent="0.25">
      <c r="B34" s="83"/>
      <c r="C34" s="83"/>
      <c r="E34" s="84"/>
      <c r="F34" s="85"/>
      <c r="G34" s="85"/>
      <c r="H34" s="87"/>
    </row>
    <row r="35" spans="1:9" ht="30" customHeight="1" x14ac:dyDescent="0.25">
      <c r="B35" s="83"/>
      <c r="C35" s="83"/>
      <c r="E35" s="84"/>
      <c r="F35" s="85"/>
      <c r="G35" s="85"/>
      <c r="H35" s="86"/>
    </row>
    <row r="36" spans="1:9" ht="30" customHeight="1" x14ac:dyDescent="0.25">
      <c r="B36" s="83"/>
      <c r="C36" s="83"/>
      <c r="E36" s="84"/>
      <c r="F36" s="85"/>
      <c r="G36" s="85"/>
      <c r="H36" s="86"/>
    </row>
    <row r="37" spans="1:9" ht="30" customHeight="1" x14ac:dyDescent="0.25">
      <c r="B37" s="83"/>
      <c r="C37" s="83"/>
      <c r="E37" s="84"/>
      <c r="F37" s="85"/>
      <c r="G37" s="85"/>
      <c r="H37" s="86"/>
    </row>
    <row r="38" spans="1:9" ht="30" customHeight="1" x14ac:dyDescent="0.25">
      <c r="B38" s="83"/>
      <c r="C38" s="83"/>
      <c r="E38" s="84"/>
      <c r="F38" s="85"/>
      <c r="G38" s="85"/>
      <c r="H38" s="86"/>
    </row>
    <row r="39" spans="1:9" ht="30" customHeight="1" x14ac:dyDescent="0.25">
      <c r="B39" s="83"/>
      <c r="C39" s="83"/>
      <c r="E39" s="84"/>
      <c r="F39" s="85"/>
      <c r="G39" s="85"/>
      <c r="H39" s="86"/>
    </row>
    <row r="40" spans="1:9" ht="30" customHeight="1" x14ac:dyDescent="0.2">
      <c r="B40" s="83"/>
      <c r="C40" s="88"/>
      <c r="D40" s="292" t="s">
        <v>101</v>
      </c>
      <c r="E40" s="292"/>
      <c r="F40" s="292"/>
      <c r="G40" s="89"/>
      <c r="H40" s="90"/>
    </row>
    <row r="41" spans="1:9" ht="12.75" customHeight="1" x14ac:dyDescent="0.2"/>
    <row r="42" spans="1:9" ht="12.75" x14ac:dyDescent="0.2">
      <c r="A42" s="92"/>
      <c r="B42" s="91" t="s">
        <v>102</v>
      </c>
      <c r="C42" s="92"/>
      <c r="D42" s="92"/>
      <c r="E42" s="104"/>
      <c r="F42" s="95"/>
      <c r="G42" s="95"/>
      <c r="H42" s="105" t="s">
        <v>103</v>
      </c>
      <c r="I42" s="106"/>
    </row>
    <row r="43" spans="1:9" ht="14.25" customHeight="1" x14ac:dyDescent="0.2">
      <c r="A43" s="92"/>
      <c r="B43" s="94" t="s">
        <v>104</v>
      </c>
      <c r="C43" s="53"/>
      <c r="D43" s="53"/>
      <c r="E43" s="104"/>
      <c r="F43" s="104"/>
      <c r="G43" s="283">
        <f>H33</f>
        <v>132</v>
      </c>
      <c r="H43" s="283"/>
      <c r="I43" s="298"/>
    </row>
    <row r="44" spans="1:9" ht="14.25" x14ac:dyDescent="0.2">
      <c r="A44" s="53"/>
      <c r="B44" s="94" t="s">
        <v>106</v>
      </c>
      <c r="C44" s="53"/>
      <c r="D44" s="53"/>
      <c r="E44" s="104"/>
      <c r="F44" s="104"/>
      <c r="G44" s="283"/>
      <c r="H44" s="283"/>
      <c r="I44" s="298"/>
    </row>
    <row r="45" spans="1:9" ht="14.25" x14ac:dyDescent="0.2">
      <c r="A45" s="53"/>
      <c r="B45" s="94" t="s">
        <v>107</v>
      </c>
      <c r="C45" s="53"/>
      <c r="D45" s="53"/>
      <c r="E45" s="95"/>
      <c r="F45" s="95"/>
      <c r="G45" s="95"/>
      <c r="H45" s="95"/>
      <c r="I45" s="95"/>
    </row>
    <row r="46" spans="1:9" ht="14.25" x14ac:dyDescent="0.2">
      <c r="A46" s="53"/>
      <c r="B46" s="94" t="s">
        <v>114</v>
      </c>
      <c r="C46" s="96"/>
      <c r="D46" s="96"/>
      <c r="E46" s="97"/>
      <c r="F46" s="97"/>
      <c r="G46" s="97"/>
      <c r="H46" s="97"/>
      <c r="I46" s="95"/>
    </row>
    <row r="47" spans="1:9" ht="53.25" customHeight="1" x14ac:dyDescent="0.2">
      <c r="B47" s="284"/>
      <c r="C47" s="278"/>
      <c r="D47" s="278"/>
      <c r="E47" s="278"/>
      <c r="F47" s="278"/>
      <c r="G47" s="278"/>
      <c r="H47" s="278"/>
    </row>
    <row r="51" spans="6:7" ht="15.75" customHeight="1" x14ac:dyDescent="0.2">
      <c r="F51" s="62"/>
      <c r="G51" s="62"/>
    </row>
    <row r="52" spans="6:7" ht="15.75" customHeight="1" x14ac:dyDescent="0.2">
      <c r="F52" s="62"/>
      <c r="G52" s="62"/>
    </row>
    <row r="53" spans="6:7" ht="15.75" customHeight="1" x14ac:dyDescent="0.2">
      <c r="F53" s="62"/>
      <c r="G53" s="62"/>
    </row>
    <row r="56" spans="6:7" ht="15.75" customHeight="1" x14ac:dyDescent="0.2">
      <c r="F56" s="62"/>
      <c r="G56" s="62"/>
    </row>
    <row r="58" spans="6:7" ht="15.75" customHeight="1" x14ac:dyDescent="0.2">
      <c r="F58" s="62"/>
      <c r="G58" s="62"/>
    </row>
  </sheetData>
  <mergeCells count="21">
    <mergeCell ref="G43:H44"/>
    <mergeCell ref="I43:I44"/>
    <mergeCell ref="B47:H47"/>
    <mergeCell ref="C28:D28"/>
    <mergeCell ref="C29:D29"/>
    <mergeCell ref="C30:D30"/>
    <mergeCell ref="C32:D32"/>
    <mergeCell ref="C33:D33"/>
    <mergeCell ref="D40:F40"/>
    <mergeCell ref="C27:D27"/>
    <mergeCell ref="E3:H3"/>
    <mergeCell ref="B4:D6"/>
    <mergeCell ref="E4:H4"/>
    <mergeCell ref="E5:H5"/>
    <mergeCell ref="E6:H6"/>
    <mergeCell ref="B9:H9"/>
    <mergeCell ref="B18:E18"/>
    <mergeCell ref="B19:E19"/>
    <mergeCell ref="B20:E20"/>
    <mergeCell ref="B23:E23"/>
    <mergeCell ref="B24:H24"/>
  </mergeCells>
  <conditionalFormatting sqref="B26">
    <cfRule type="notContainsBlanks" dxfId="13" priority="1">
      <formula>LEN(TRIM(B26))&gt;0</formula>
    </cfRule>
  </conditionalFormatting>
  <hyperlinks>
    <hyperlink ref="B12" r:id="rId1" xr:uid="{49443196-BECF-4C6D-8894-C8E9F026F3FF}"/>
  </hyperlinks>
  <printOptions horizontalCentered="1" verticalCentered="1"/>
  <pageMargins left="0.13" right="7.0000000000000007E-2" top="0.19685039370078741" bottom="0.19685039370078741" header="0.31496062992125984" footer="0.31496062992125984"/>
  <pageSetup paperSize="9" scale="87" orientation="portrait" r:id="rId2"/>
  <drawing r:id="rId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DD749-9391-45F8-950F-72C027C0519A}">
  <sheetPr codeName="Sheet48">
    <tabColor theme="8" tint="0.39997558519241921"/>
    <outlinePr summaryBelow="0" summaryRight="0"/>
    <pageSetUpPr fitToPage="1"/>
  </sheetPr>
  <dimension ref="A1:J58"/>
  <sheetViews>
    <sheetView showGridLines="0" topLeftCell="A7" zoomScale="130" zoomScaleNormal="130" workbookViewId="0">
      <selection activeCell="J14" sqref="J14"/>
    </sheetView>
  </sheetViews>
  <sheetFormatPr defaultColWidth="14.42578125" defaultRowHeight="15.75" customHeight="1" x14ac:dyDescent="0.2"/>
  <cols>
    <col min="1" max="1" width="2.85546875" style="55" customWidth="1"/>
    <col min="2" max="3" width="14.42578125" style="55"/>
    <col min="4" max="4" width="26.42578125" style="55" customWidth="1"/>
    <col min="5" max="5" width="18.140625" style="55" bestFit="1" customWidth="1"/>
    <col min="6" max="6" width="15.140625" style="55" customWidth="1"/>
    <col min="7" max="7" width="9.7109375" style="55" customWidth="1"/>
    <col min="8" max="8" width="13.7109375" style="55" bestFit="1" customWidth="1"/>
    <col min="9" max="9" width="3.28515625" style="55" customWidth="1"/>
    <col min="10" max="16384" width="14.42578125" style="55"/>
  </cols>
  <sheetData>
    <row r="1" spans="1:10" ht="39" customHeight="1" x14ac:dyDescent="0.2">
      <c r="A1" s="54"/>
      <c r="B1" s="54"/>
      <c r="C1" s="54"/>
      <c r="D1" s="54"/>
      <c r="E1" s="54"/>
      <c r="F1" s="54"/>
      <c r="G1" s="54"/>
      <c r="H1" s="54"/>
      <c r="I1" s="54"/>
    </row>
    <row r="2" spans="1:10" x14ac:dyDescent="0.25">
      <c r="A2" s="54"/>
      <c r="B2" s="56"/>
      <c r="C2" s="56"/>
      <c r="D2" s="56"/>
      <c r="E2" s="57"/>
      <c r="F2" s="57"/>
      <c r="G2" s="57"/>
      <c r="H2" s="57"/>
      <c r="I2" s="56"/>
    </row>
    <row r="3" spans="1:10" ht="12.75" x14ac:dyDescent="0.2">
      <c r="A3" s="54"/>
      <c r="B3" s="56"/>
      <c r="C3" s="56"/>
      <c r="D3" s="56"/>
      <c r="E3" s="273"/>
      <c r="F3" s="274"/>
      <c r="G3" s="274"/>
      <c r="H3" s="274"/>
      <c r="I3" s="56"/>
    </row>
    <row r="4" spans="1:10" ht="12.75" x14ac:dyDescent="0.2">
      <c r="A4" s="54"/>
      <c r="B4" s="275" t="s">
        <v>83</v>
      </c>
      <c r="C4" s="276"/>
      <c r="D4" s="276"/>
      <c r="E4" s="277"/>
      <c r="F4" s="274"/>
      <c r="G4" s="274"/>
      <c r="H4" s="274"/>
      <c r="I4" s="56"/>
    </row>
    <row r="5" spans="1:10" ht="12.75" x14ac:dyDescent="0.2">
      <c r="A5" s="54"/>
      <c r="B5" s="276"/>
      <c r="C5" s="276"/>
      <c r="D5" s="276"/>
      <c r="E5" s="277"/>
      <c r="F5" s="274"/>
      <c r="G5" s="274"/>
      <c r="H5" s="274"/>
      <c r="I5" s="56"/>
    </row>
    <row r="6" spans="1:10" ht="12.75" x14ac:dyDescent="0.2">
      <c r="A6" s="54"/>
      <c r="B6" s="276"/>
      <c r="C6" s="276"/>
      <c r="D6" s="276"/>
      <c r="E6" s="277"/>
      <c r="F6" s="274"/>
      <c r="G6" s="274"/>
      <c r="H6" s="274"/>
      <c r="I6" s="56"/>
    </row>
    <row r="7" spans="1:10" ht="36.75" customHeight="1" x14ac:dyDescent="0.2">
      <c r="A7" s="54"/>
      <c r="B7" s="54"/>
      <c r="C7" s="54"/>
      <c r="D7" s="54"/>
      <c r="E7" s="54"/>
      <c r="F7" s="54"/>
      <c r="G7" s="54"/>
      <c r="H7" s="54"/>
      <c r="I7" s="54"/>
    </row>
    <row r="8" spans="1:10" ht="21.75" customHeight="1" x14ac:dyDescent="0.2">
      <c r="A8" s="58"/>
      <c r="B8" s="58"/>
      <c r="C8" s="58"/>
      <c r="D8" s="58"/>
      <c r="E8" s="58"/>
      <c r="F8" s="58"/>
      <c r="G8" s="58"/>
      <c r="H8" s="58"/>
      <c r="I8" s="58"/>
      <c r="J8" s="59"/>
    </row>
    <row r="9" spans="1:10" ht="15.75" customHeight="1" x14ac:dyDescent="0.2">
      <c r="B9" s="278"/>
      <c r="C9" s="278"/>
      <c r="D9" s="278"/>
      <c r="E9" s="278"/>
      <c r="F9" s="278"/>
      <c r="G9" s="278"/>
      <c r="H9" s="278"/>
    </row>
    <row r="10" spans="1:10" ht="15" customHeight="1" x14ac:dyDescent="0.2">
      <c r="A10" s="98"/>
      <c r="B10" s="60" t="s">
        <v>84</v>
      </c>
      <c r="G10" s="60"/>
      <c r="H10" s="61" t="s">
        <v>85</v>
      </c>
    </row>
    <row r="11" spans="1:10" ht="14.25" x14ac:dyDescent="0.2">
      <c r="A11" s="98"/>
      <c r="B11" s="62" t="s">
        <v>86</v>
      </c>
      <c r="G11" s="62"/>
      <c r="H11" s="63" t="str">
        <f>"OJ"&amp;J11</f>
        <v>OJ39</v>
      </c>
      <c r="J11" s="55">
        <v>39</v>
      </c>
    </row>
    <row r="12" spans="1:10" ht="15" x14ac:dyDescent="0.2">
      <c r="A12" s="98"/>
      <c r="B12" s="62" t="s">
        <v>87</v>
      </c>
      <c r="G12" s="60"/>
      <c r="H12" s="61" t="s">
        <v>88</v>
      </c>
      <c r="J12" s="55">
        <v>7</v>
      </c>
    </row>
    <row r="13" spans="1:10" ht="14.25" x14ac:dyDescent="0.2">
      <c r="A13" s="98"/>
      <c r="B13" s="62"/>
      <c r="G13" s="64"/>
      <c r="H13" s="65">
        <v>44914</v>
      </c>
    </row>
    <row r="14" spans="1:10" ht="15" x14ac:dyDescent="0.2">
      <c r="A14" s="98"/>
      <c r="G14" s="60"/>
      <c r="H14" s="61" t="s">
        <v>89</v>
      </c>
    </row>
    <row r="15" spans="1:10" ht="14.25" x14ac:dyDescent="0.2">
      <c r="A15" s="98"/>
      <c r="G15" s="64"/>
      <c r="H15" s="65">
        <f>H13+J12</f>
        <v>44921</v>
      </c>
      <c r="J15" s="139"/>
    </row>
    <row r="16" spans="1:10" ht="14.25" x14ac:dyDescent="0.2">
      <c r="A16" s="98"/>
      <c r="B16" s="62"/>
      <c r="G16" s="65"/>
      <c r="H16" s="65"/>
      <c r="J16" s="139"/>
    </row>
    <row r="17" spans="1:8" ht="14.25" x14ac:dyDescent="0.2">
      <c r="A17" s="98"/>
      <c r="F17" s="65"/>
      <c r="G17" s="65"/>
      <c r="H17" s="66"/>
    </row>
    <row r="18" spans="1:8" ht="22.5" customHeight="1" x14ac:dyDescent="0.2">
      <c r="A18" s="98"/>
      <c r="B18" s="279" t="s">
        <v>90</v>
      </c>
      <c r="C18" s="280"/>
      <c r="D18" s="280"/>
      <c r="E18" s="280"/>
      <c r="F18" s="65"/>
      <c r="G18" s="65"/>
      <c r="H18" s="66"/>
    </row>
    <row r="19" spans="1:8" ht="15" x14ac:dyDescent="0.2">
      <c r="A19" s="98"/>
      <c r="B19" s="295" t="s">
        <v>248</v>
      </c>
      <c r="C19" s="296"/>
      <c r="D19" s="296"/>
      <c r="E19" s="296"/>
      <c r="F19" s="65"/>
      <c r="G19" s="65"/>
      <c r="H19" s="66"/>
    </row>
    <row r="20" spans="1:8" ht="14.25" x14ac:dyDescent="0.2">
      <c r="A20" s="98"/>
      <c r="B20" s="297" t="s">
        <v>249</v>
      </c>
      <c r="C20" s="296"/>
      <c r="D20" s="296"/>
      <c r="E20" s="296"/>
      <c r="F20" s="65"/>
      <c r="G20" s="65"/>
      <c r="H20" s="66"/>
    </row>
    <row r="21" spans="1:8" ht="14.25" x14ac:dyDescent="0.2">
      <c r="A21" s="98"/>
      <c r="B21" s="62"/>
      <c r="C21" s="67"/>
      <c r="D21" s="67"/>
      <c r="E21" s="67"/>
      <c r="F21" s="65"/>
      <c r="G21" s="65"/>
      <c r="H21" s="66"/>
    </row>
    <row r="22" spans="1:8" ht="14.25" x14ac:dyDescent="0.2">
      <c r="A22" s="98"/>
      <c r="B22" s="62"/>
      <c r="C22" s="67"/>
      <c r="D22" s="67"/>
      <c r="E22" s="67"/>
      <c r="F22" s="65"/>
      <c r="G22" s="65"/>
      <c r="H22" s="66"/>
    </row>
    <row r="23" spans="1:8" ht="22.5" customHeight="1" x14ac:dyDescent="0.2">
      <c r="A23" s="98"/>
      <c r="B23" s="282"/>
      <c r="C23" s="280"/>
      <c r="D23" s="280"/>
      <c r="E23" s="280"/>
      <c r="F23" s="67"/>
      <c r="G23" s="67"/>
      <c r="H23" s="67"/>
    </row>
    <row r="24" spans="1:8" ht="27.75" customHeight="1" x14ac:dyDescent="0.2">
      <c r="B24" s="280"/>
      <c r="C24" s="280"/>
      <c r="D24" s="280"/>
      <c r="E24" s="280"/>
      <c r="F24" s="280"/>
      <c r="G24" s="280"/>
      <c r="H24" s="280"/>
    </row>
    <row r="25" spans="1:8" ht="27.75" customHeight="1" x14ac:dyDescent="0.2">
      <c r="B25" s="67"/>
      <c r="C25" s="67"/>
      <c r="D25" s="67"/>
      <c r="E25" s="67"/>
      <c r="F25" s="67"/>
      <c r="G25" s="67"/>
      <c r="H25" s="67"/>
    </row>
    <row r="26" spans="1:8" ht="15.75" customHeight="1" x14ac:dyDescent="0.2">
      <c r="B26" s="67"/>
      <c r="C26" s="67"/>
      <c r="D26" s="67"/>
      <c r="E26" s="67"/>
      <c r="F26" s="67"/>
      <c r="G26" s="67"/>
      <c r="H26" s="67"/>
    </row>
    <row r="27" spans="1:8" ht="15" x14ac:dyDescent="0.25">
      <c r="B27" s="68" t="s">
        <v>88</v>
      </c>
      <c r="C27" s="272" t="s">
        <v>92</v>
      </c>
      <c r="D27" s="272"/>
      <c r="E27" s="70" t="s">
        <v>110</v>
      </c>
      <c r="F27" s="70" t="s">
        <v>111</v>
      </c>
      <c r="G27" s="70" t="s">
        <v>18</v>
      </c>
      <c r="H27" s="70" t="s">
        <v>95</v>
      </c>
    </row>
    <row r="28" spans="1:8" ht="27.75" customHeight="1" x14ac:dyDescent="0.2">
      <c r="B28" s="71">
        <v>44911</v>
      </c>
      <c r="C28" s="293" t="s">
        <v>250</v>
      </c>
      <c r="D28" s="294"/>
      <c r="E28" s="99">
        <v>39</v>
      </c>
      <c r="F28" s="108">
        <v>3</v>
      </c>
      <c r="G28" s="101">
        <v>0.1</v>
      </c>
      <c r="H28" s="99">
        <f>E28*F28</f>
        <v>117</v>
      </c>
    </row>
    <row r="29" spans="1:8" ht="19.5" customHeight="1" x14ac:dyDescent="0.2">
      <c r="B29" s="102"/>
      <c r="C29" s="286" t="s">
        <v>251</v>
      </c>
      <c r="D29" s="287"/>
      <c r="E29" s="77">
        <v>50</v>
      </c>
      <c r="F29" s="133">
        <v>1</v>
      </c>
      <c r="G29" s="134">
        <v>0.1</v>
      </c>
      <c r="H29" s="135">
        <f>E29*F29</f>
        <v>50</v>
      </c>
    </row>
    <row r="30" spans="1:8" ht="30" customHeight="1" x14ac:dyDescent="0.2">
      <c r="B30" s="72"/>
      <c r="C30" s="290"/>
      <c r="D30" s="280"/>
      <c r="E30" s="63"/>
      <c r="F30" s="79"/>
      <c r="G30" s="79" t="s">
        <v>97</v>
      </c>
      <c r="H30" s="80">
        <f>SUM(H28:H29)</f>
        <v>167</v>
      </c>
    </row>
    <row r="31" spans="1:8" ht="30" customHeight="1" x14ac:dyDescent="0.2">
      <c r="B31" s="72"/>
      <c r="C31" s="72"/>
      <c r="D31" s="67"/>
      <c r="E31" s="63"/>
      <c r="F31" s="79"/>
      <c r="G31" s="79" t="s">
        <v>113</v>
      </c>
      <c r="H31" s="80">
        <f>(H30*1.1)-H30</f>
        <v>16.700000000000017</v>
      </c>
    </row>
    <row r="32" spans="1:8" ht="30" customHeight="1" x14ac:dyDescent="0.2">
      <c r="B32" s="72"/>
      <c r="C32" s="290"/>
      <c r="D32" s="280"/>
      <c r="E32" s="63"/>
      <c r="F32" s="81"/>
      <c r="G32" s="81" t="s">
        <v>99</v>
      </c>
      <c r="H32" s="82">
        <v>0</v>
      </c>
    </row>
    <row r="33" spans="1:9" ht="30" customHeight="1" x14ac:dyDescent="0.25">
      <c r="B33" s="83"/>
      <c r="C33" s="291"/>
      <c r="D33" s="278"/>
      <c r="E33" s="84"/>
      <c r="F33" s="85"/>
      <c r="G33" s="85" t="s">
        <v>100</v>
      </c>
      <c r="H33" s="86">
        <f>SUM(H30:H32)</f>
        <v>183.70000000000002</v>
      </c>
    </row>
    <row r="34" spans="1:9" ht="30" customHeight="1" x14ac:dyDescent="0.25">
      <c r="B34" s="83"/>
      <c r="C34" s="83"/>
      <c r="E34" s="84"/>
      <c r="F34" s="85"/>
      <c r="G34" s="85"/>
      <c r="H34" s="87"/>
    </row>
    <row r="35" spans="1:9" ht="30" customHeight="1" x14ac:dyDescent="0.25">
      <c r="B35" s="83"/>
      <c r="C35" s="83"/>
      <c r="E35" s="84"/>
      <c r="F35" s="85"/>
      <c r="G35" s="85"/>
      <c r="H35" s="86"/>
    </row>
    <row r="36" spans="1:9" ht="30" customHeight="1" x14ac:dyDescent="0.25">
      <c r="B36" s="83"/>
      <c r="C36" s="83"/>
      <c r="E36" s="84"/>
      <c r="F36" s="85"/>
      <c r="G36" s="85"/>
      <c r="H36" s="86"/>
    </row>
    <row r="37" spans="1:9" ht="30" customHeight="1" x14ac:dyDescent="0.25">
      <c r="B37" s="83"/>
      <c r="C37" s="83"/>
      <c r="E37" s="84"/>
      <c r="F37" s="85"/>
      <c r="G37" s="85"/>
      <c r="H37" s="86"/>
    </row>
    <row r="38" spans="1:9" ht="30" customHeight="1" x14ac:dyDescent="0.25">
      <c r="B38" s="83"/>
      <c r="C38" s="83"/>
      <c r="E38" s="84"/>
      <c r="F38" s="85"/>
      <c r="G38" s="85"/>
      <c r="H38" s="86"/>
    </row>
    <row r="39" spans="1:9" ht="30" customHeight="1" x14ac:dyDescent="0.25">
      <c r="B39" s="83"/>
      <c r="C39" s="83"/>
      <c r="E39" s="84"/>
      <c r="F39" s="85"/>
      <c r="G39" s="85"/>
      <c r="H39" s="86"/>
    </row>
    <row r="40" spans="1:9" ht="30" customHeight="1" x14ac:dyDescent="0.2">
      <c r="B40" s="83"/>
      <c r="C40" s="88"/>
      <c r="D40" s="292" t="s">
        <v>101</v>
      </c>
      <c r="E40" s="292"/>
      <c r="F40" s="292"/>
      <c r="G40" s="89"/>
      <c r="H40" s="90"/>
    </row>
    <row r="41" spans="1:9" ht="12.75" customHeight="1" x14ac:dyDescent="0.2"/>
    <row r="42" spans="1:9" ht="12.75" x14ac:dyDescent="0.2">
      <c r="A42" s="92"/>
      <c r="B42" s="91" t="s">
        <v>102</v>
      </c>
      <c r="C42" s="92"/>
      <c r="D42" s="92"/>
      <c r="E42" s="104"/>
      <c r="F42" s="95"/>
      <c r="G42" s="95"/>
      <c r="H42" s="105" t="s">
        <v>103</v>
      </c>
      <c r="I42" s="106"/>
    </row>
    <row r="43" spans="1:9" ht="14.25" customHeight="1" x14ac:dyDescent="0.2">
      <c r="A43" s="92"/>
      <c r="B43" s="94" t="s">
        <v>104</v>
      </c>
      <c r="C43" s="53"/>
      <c r="D43" s="53"/>
      <c r="E43" s="104"/>
      <c r="F43" s="104"/>
      <c r="G43" s="283">
        <f>H33</f>
        <v>183.70000000000002</v>
      </c>
      <c r="H43" s="283"/>
      <c r="I43" s="298"/>
    </row>
    <row r="44" spans="1:9" ht="14.25" x14ac:dyDescent="0.2">
      <c r="A44" s="53"/>
      <c r="B44" s="94" t="s">
        <v>106</v>
      </c>
      <c r="C44" s="53"/>
      <c r="D44" s="53"/>
      <c r="E44" s="104"/>
      <c r="F44" s="104"/>
      <c r="G44" s="283"/>
      <c r="H44" s="283"/>
      <c r="I44" s="298"/>
    </row>
    <row r="45" spans="1:9" ht="14.25" x14ac:dyDescent="0.2">
      <c r="A45" s="53"/>
      <c r="B45" s="94" t="s">
        <v>107</v>
      </c>
      <c r="C45" s="53"/>
      <c r="D45" s="53"/>
      <c r="E45" s="95"/>
      <c r="F45" s="95"/>
      <c r="G45" s="95"/>
      <c r="H45" s="95"/>
      <c r="I45" s="95"/>
    </row>
    <row r="46" spans="1:9" ht="14.25" x14ac:dyDescent="0.2">
      <c r="A46" s="53"/>
      <c r="B46" s="94" t="s">
        <v>114</v>
      </c>
      <c r="C46" s="96"/>
      <c r="D46" s="96"/>
      <c r="E46" s="97"/>
      <c r="F46" s="97"/>
      <c r="G46" s="97"/>
      <c r="H46" s="97"/>
      <c r="I46" s="95"/>
    </row>
    <row r="47" spans="1:9" ht="53.25" customHeight="1" x14ac:dyDescent="0.2">
      <c r="B47" s="284"/>
      <c r="C47" s="278"/>
      <c r="D47" s="278"/>
      <c r="E47" s="278"/>
      <c r="F47" s="278"/>
      <c r="G47" s="278"/>
      <c r="H47" s="278"/>
    </row>
    <row r="51" spans="6:7" ht="15.75" customHeight="1" x14ac:dyDescent="0.2">
      <c r="F51" s="62"/>
      <c r="G51" s="62"/>
    </row>
    <row r="52" spans="6:7" ht="15.75" customHeight="1" x14ac:dyDescent="0.2">
      <c r="F52" s="62"/>
      <c r="G52" s="62"/>
    </row>
    <row r="53" spans="6:7" ht="15.75" customHeight="1" x14ac:dyDescent="0.2">
      <c r="F53" s="62"/>
      <c r="G53" s="62"/>
    </row>
    <row r="56" spans="6:7" ht="15.75" customHeight="1" x14ac:dyDescent="0.2">
      <c r="F56" s="62"/>
      <c r="G56" s="62"/>
    </row>
    <row r="58" spans="6:7" ht="15.75" customHeight="1" x14ac:dyDescent="0.2">
      <c r="F58" s="62"/>
      <c r="G58" s="62"/>
    </row>
  </sheetData>
  <mergeCells count="21">
    <mergeCell ref="G43:H44"/>
    <mergeCell ref="I43:I44"/>
    <mergeCell ref="B47:H47"/>
    <mergeCell ref="C28:D28"/>
    <mergeCell ref="C29:D29"/>
    <mergeCell ref="C30:D30"/>
    <mergeCell ref="C32:D32"/>
    <mergeCell ref="C33:D33"/>
    <mergeCell ref="D40:F40"/>
    <mergeCell ref="C27:D27"/>
    <mergeCell ref="E3:H3"/>
    <mergeCell ref="B4:D6"/>
    <mergeCell ref="E4:H4"/>
    <mergeCell ref="E5:H5"/>
    <mergeCell ref="E6:H6"/>
    <mergeCell ref="B9:H9"/>
    <mergeCell ref="B18:E18"/>
    <mergeCell ref="B19:E19"/>
    <mergeCell ref="B20:E20"/>
    <mergeCell ref="B23:E23"/>
    <mergeCell ref="B24:H24"/>
  </mergeCells>
  <conditionalFormatting sqref="B26">
    <cfRule type="notContainsBlanks" dxfId="12" priority="1">
      <formula>LEN(TRIM(B26))&gt;0</formula>
    </cfRule>
  </conditionalFormatting>
  <hyperlinks>
    <hyperlink ref="B12" r:id="rId1" xr:uid="{C67A91CB-1DAB-46C1-8D26-F252C4EA9C14}"/>
  </hyperlinks>
  <printOptions horizontalCentered="1" verticalCentered="1"/>
  <pageMargins left="0.13" right="7.0000000000000007E-2" top="0.19685039370078741" bottom="0.19685039370078741" header="0.31496062992125984" footer="0.31496062992125984"/>
  <pageSetup paperSize="9" scale="87" orientation="portrait" r:id="rId2"/>
  <drawing r:id="rId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8A8DD4-1B14-4298-A277-23E633CC577A}">
  <sheetPr codeName="Sheet49">
    <tabColor theme="8" tint="0.39997558519241921"/>
    <outlinePr summaryBelow="0" summaryRight="0"/>
    <pageSetUpPr fitToPage="1"/>
  </sheetPr>
  <dimension ref="A1:J58"/>
  <sheetViews>
    <sheetView showGridLines="0" topLeftCell="A7" zoomScale="130" zoomScaleNormal="130" workbookViewId="0">
      <selection activeCell="H11" sqref="H11"/>
    </sheetView>
  </sheetViews>
  <sheetFormatPr defaultColWidth="14.42578125" defaultRowHeight="15.75" customHeight="1" x14ac:dyDescent="0.2"/>
  <cols>
    <col min="1" max="1" width="2.85546875" style="55" customWidth="1"/>
    <col min="2" max="3" width="14.42578125" style="55"/>
    <col min="4" max="4" width="31" style="55" customWidth="1"/>
    <col min="5" max="5" width="18.140625" style="55" bestFit="1" customWidth="1"/>
    <col min="6" max="6" width="15.140625" style="55" customWidth="1"/>
    <col min="7" max="7" width="9.7109375" style="55" customWidth="1"/>
    <col min="8" max="8" width="13.7109375" style="55" bestFit="1" customWidth="1"/>
    <col min="9" max="9" width="3.28515625" style="55" customWidth="1"/>
    <col min="10" max="16384" width="14.42578125" style="55"/>
  </cols>
  <sheetData>
    <row r="1" spans="1:10" ht="39" customHeight="1" x14ac:dyDescent="0.2">
      <c r="A1" s="54"/>
      <c r="B1" s="54"/>
      <c r="C1" s="54"/>
      <c r="D1" s="54"/>
      <c r="E1" s="54"/>
      <c r="F1" s="54"/>
      <c r="G1" s="54"/>
      <c r="H1" s="54"/>
      <c r="I1" s="54"/>
    </row>
    <row r="2" spans="1:10" x14ac:dyDescent="0.25">
      <c r="A2" s="54"/>
      <c r="B2" s="56"/>
      <c r="C2" s="56"/>
      <c r="D2" s="56"/>
      <c r="E2" s="57"/>
      <c r="F2" s="57"/>
      <c r="G2" s="57"/>
      <c r="H2" s="57"/>
      <c r="I2" s="56"/>
    </row>
    <row r="3" spans="1:10" ht="12.75" x14ac:dyDescent="0.2">
      <c r="A3" s="54"/>
      <c r="B3" s="56"/>
      <c r="C3" s="56"/>
      <c r="D3" s="56"/>
      <c r="E3" s="273"/>
      <c r="F3" s="274"/>
      <c r="G3" s="274"/>
      <c r="H3" s="274"/>
      <c r="I3" s="56"/>
    </row>
    <row r="4" spans="1:10" ht="12.75" x14ac:dyDescent="0.2">
      <c r="A4" s="54"/>
      <c r="B4" s="275" t="s">
        <v>83</v>
      </c>
      <c r="C4" s="276"/>
      <c r="D4" s="276"/>
      <c r="E4" s="277"/>
      <c r="F4" s="274"/>
      <c r="G4" s="274"/>
      <c r="H4" s="274"/>
      <c r="I4" s="56"/>
    </row>
    <row r="5" spans="1:10" ht="12.75" x14ac:dyDescent="0.2">
      <c r="A5" s="54"/>
      <c r="B5" s="276"/>
      <c r="C5" s="276"/>
      <c r="D5" s="276"/>
      <c r="E5" s="277"/>
      <c r="F5" s="274"/>
      <c r="G5" s="274"/>
      <c r="H5" s="274"/>
      <c r="I5" s="56"/>
    </row>
    <row r="6" spans="1:10" ht="12.75" x14ac:dyDescent="0.2">
      <c r="A6" s="54"/>
      <c r="B6" s="276"/>
      <c r="C6" s="276"/>
      <c r="D6" s="276"/>
      <c r="E6" s="277"/>
      <c r="F6" s="274"/>
      <c r="G6" s="274"/>
      <c r="H6" s="274"/>
      <c r="I6" s="56"/>
    </row>
    <row r="7" spans="1:10" ht="36.75" customHeight="1" x14ac:dyDescent="0.2">
      <c r="A7" s="54"/>
      <c r="B7" s="54"/>
      <c r="C7" s="54"/>
      <c r="D7" s="54"/>
      <c r="E7" s="54"/>
      <c r="F7" s="54"/>
      <c r="G7" s="54"/>
      <c r="H7" s="54"/>
      <c r="I7" s="54"/>
    </row>
    <row r="8" spans="1:10" ht="21.75" customHeight="1" x14ac:dyDescent="0.2">
      <c r="A8" s="58"/>
      <c r="B8" s="58"/>
      <c r="C8" s="58"/>
      <c r="D8" s="58"/>
      <c r="E8" s="58"/>
      <c r="F8" s="58"/>
      <c r="G8" s="58"/>
      <c r="H8" s="58"/>
      <c r="I8" s="58"/>
      <c r="J8" s="59"/>
    </row>
    <row r="9" spans="1:10" ht="15.75" customHeight="1" x14ac:dyDescent="0.2">
      <c r="B9" s="278"/>
      <c r="C9" s="278"/>
      <c r="D9" s="278"/>
      <c r="E9" s="278"/>
      <c r="F9" s="278"/>
      <c r="G9" s="278"/>
      <c r="H9" s="278"/>
    </row>
    <row r="10" spans="1:10" ht="15" customHeight="1" x14ac:dyDescent="0.2">
      <c r="A10" s="98"/>
      <c r="B10" s="60" t="s">
        <v>84</v>
      </c>
      <c r="G10" s="60"/>
      <c r="H10" s="61" t="s">
        <v>85</v>
      </c>
    </row>
    <row r="11" spans="1:10" ht="14.25" x14ac:dyDescent="0.2">
      <c r="A11" s="98"/>
      <c r="B11" s="62" t="s">
        <v>86</v>
      </c>
      <c r="G11" s="62"/>
      <c r="H11" s="63" t="str">
        <f>"SR"&amp;J11</f>
        <v>SR1012</v>
      </c>
      <c r="J11" s="55">
        <v>1012</v>
      </c>
    </row>
    <row r="12" spans="1:10" ht="15" x14ac:dyDescent="0.2">
      <c r="A12" s="98"/>
      <c r="B12" s="62" t="s">
        <v>87</v>
      </c>
      <c r="G12" s="60"/>
      <c r="H12" s="61" t="s">
        <v>88</v>
      </c>
      <c r="J12" s="55">
        <v>7</v>
      </c>
    </row>
    <row r="13" spans="1:10" ht="14.25" x14ac:dyDescent="0.2">
      <c r="A13" s="98"/>
      <c r="B13" s="62"/>
      <c r="F13" s="107"/>
      <c r="G13" s="64"/>
      <c r="H13" s="65">
        <v>44947</v>
      </c>
    </row>
    <row r="14" spans="1:10" ht="15" x14ac:dyDescent="0.2">
      <c r="A14" s="98"/>
      <c r="G14" s="60"/>
      <c r="H14" s="61" t="s">
        <v>89</v>
      </c>
    </row>
    <row r="15" spans="1:10" ht="14.25" x14ac:dyDescent="0.2">
      <c r="A15" s="98"/>
      <c r="G15" s="64"/>
      <c r="H15" s="65">
        <f>H13+J12</f>
        <v>44954</v>
      </c>
    </row>
    <row r="16" spans="1:10" ht="14.25" x14ac:dyDescent="0.2">
      <c r="A16" s="98"/>
      <c r="B16" s="62"/>
      <c r="G16" s="65"/>
      <c r="H16" s="65"/>
    </row>
    <row r="17" spans="1:8" ht="14.25" x14ac:dyDescent="0.2">
      <c r="A17" s="98"/>
      <c r="F17" s="65"/>
      <c r="G17" s="65"/>
      <c r="H17" s="66"/>
    </row>
    <row r="18" spans="1:8" ht="22.5" customHeight="1" x14ac:dyDescent="0.2">
      <c r="A18" s="98"/>
      <c r="B18" s="279" t="s">
        <v>90</v>
      </c>
      <c r="C18" s="280"/>
      <c r="D18" s="280"/>
      <c r="E18" s="280"/>
      <c r="F18" s="65"/>
      <c r="G18" s="65"/>
      <c r="H18" s="66"/>
    </row>
    <row r="19" spans="1:8" ht="15" x14ac:dyDescent="0.2">
      <c r="A19" s="98"/>
      <c r="B19" s="295" t="s">
        <v>56</v>
      </c>
      <c r="C19" s="296"/>
      <c r="D19" s="296"/>
      <c r="E19" s="296"/>
      <c r="F19" s="65"/>
      <c r="G19" s="65"/>
      <c r="H19" s="66"/>
    </row>
    <row r="20" spans="1:8" ht="14.25" x14ac:dyDescent="0.2">
      <c r="A20" s="98"/>
      <c r="B20" s="301" t="s">
        <v>252</v>
      </c>
      <c r="C20" s="296"/>
      <c r="D20" s="296"/>
      <c r="E20" s="296"/>
      <c r="F20" s="65"/>
      <c r="G20" s="65"/>
      <c r="H20" s="66"/>
    </row>
    <row r="21" spans="1:8" ht="14.25" x14ac:dyDescent="0.2">
      <c r="A21" s="98"/>
      <c r="B21" s="62"/>
      <c r="C21" s="67"/>
      <c r="D21" s="67"/>
      <c r="E21" s="67"/>
      <c r="F21" s="65"/>
      <c r="G21" s="65"/>
      <c r="H21" s="66"/>
    </row>
    <row r="22" spans="1:8" ht="14.25" x14ac:dyDescent="0.2">
      <c r="A22" s="98"/>
      <c r="B22" s="62"/>
      <c r="C22" s="67"/>
      <c r="D22" s="67"/>
      <c r="E22" s="67"/>
      <c r="F22" s="65"/>
      <c r="G22" s="65"/>
      <c r="H22" s="66"/>
    </row>
    <row r="23" spans="1:8" ht="22.5" customHeight="1" x14ac:dyDescent="0.2">
      <c r="A23" s="98"/>
      <c r="B23" s="282"/>
      <c r="C23" s="280"/>
      <c r="D23" s="280"/>
      <c r="E23" s="280"/>
      <c r="F23" s="67"/>
      <c r="G23" s="67"/>
      <c r="H23" s="67"/>
    </row>
    <row r="24" spans="1:8" ht="27.75" customHeight="1" x14ac:dyDescent="0.2">
      <c r="B24" s="280"/>
      <c r="C24" s="280"/>
      <c r="D24" s="280"/>
      <c r="E24" s="280"/>
      <c r="F24" s="280"/>
      <c r="G24" s="280"/>
      <c r="H24" s="280"/>
    </row>
    <row r="25" spans="1:8" ht="27.75" customHeight="1" x14ac:dyDescent="0.2">
      <c r="B25" s="67"/>
      <c r="C25" s="67"/>
      <c r="D25" s="67"/>
      <c r="E25" s="67"/>
      <c r="F25" s="67"/>
      <c r="G25" s="67"/>
      <c r="H25" s="67"/>
    </row>
    <row r="26" spans="1:8" ht="15.75" customHeight="1" x14ac:dyDescent="0.2">
      <c r="B26" s="67"/>
      <c r="C26" s="67"/>
      <c r="D26" s="67"/>
      <c r="E26" s="67"/>
      <c r="F26" s="67"/>
      <c r="G26" s="67"/>
      <c r="H26" s="67"/>
    </row>
    <row r="27" spans="1:8" ht="15" x14ac:dyDescent="0.25">
      <c r="B27" s="68" t="s">
        <v>88</v>
      </c>
      <c r="C27" s="272" t="s">
        <v>92</v>
      </c>
      <c r="D27" s="272"/>
      <c r="E27" s="70" t="s">
        <v>110</v>
      </c>
      <c r="F27" s="70" t="s">
        <v>111</v>
      </c>
      <c r="G27" s="70" t="s">
        <v>18</v>
      </c>
      <c r="H27" s="70" t="s">
        <v>95</v>
      </c>
    </row>
    <row r="28" spans="1:8" ht="31.5" customHeight="1" x14ac:dyDescent="0.2">
      <c r="B28" s="71">
        <v>44946</v>
      </c>
      <c r="C28" s="293" t="s">
        <v>130</v>
      </c>
      <c r="D28" s="294"/>
      <c r="E28" s="99">
        <v>40</v>
      </c>
      <c r="F28" s="100">
        <v>2.5</v>
      </c>
      <c r="G28" s="101">
        <v>0.1</v>
      </c>
      <c r="H28" s="99">
        <f>E28*F28</f>
        <v>100</v>
      </c>
    </row>
    <row r="29" spans="1:8" ht="28.5" customHeight="1" x14ac:dyDescent="0.2">
      <c r="B29" s="102"/>
      <c r="C29" s="312"/>
      <c r="D29" s="313"/>
      <c r="E29" s="135"/>
      <c r="F29" s="155"/>
      <c r="G29" s="134"/>
      <c r="H29" s="135"/>
    </row>
    <row r="30" spans="1:8" ht="30" customHeight="1" x14ac:dyDescent="0.2">
      <c r="B30" s="72"/>
      <c r="C30" s="290"/>
      <c r="D30" s="280"/>
      <c r="E30" s="63"/>
      <c r="F30" s="79"/>
      <c r="G30" s="79" t="s">
        <v>97</v>
      </c>
      <c r="H30" s="80">
        <f>SUM(H28:H29)</f>
        <v>100</v>
      </c>
    </row>
    <row r="31" spans="1:8" ht="30" customHeight="1" x14ac:dyDescent="0.2">
      <c r="B31" s="72"/>
      <c r="C31" s="72"/>
      <c r="D31" s="67"/>
      <c r="E31" s="63"/>
      <c r="F31" s="79"/>
      <c r="G31" s="79" t="s">
        <v>113</v>
      </c>
      <c r="H31" s="80">
        <f>H30*0.1</f>
        <v>10</v>
      </c>
    </row>
    <row r="32" spans="1:8" ht="30" customHeight="1" x14ac:dyDescent="0.2">
      <c r="B32" s="72"/>
      <c r="C32" s="290"/>
      <c r="D32" s="280"/>
      <c r="E32" s="63"/>
      <c r="F32" s="81"/>
      <c r="G32" s="81" t="s">
        <v>99</v>
      </c>
      <c r="H32" s="82">
        <v>0</v>
      </c>
    </row>
    <row r="33" spans="1:9" ht="30" customHeight="1" x14ac:dyDescent="0.25">
      <c r="B33" s="83"/>
      <c r="C33" s="291"/>
      <c r="D33" s="278"/>
      <c r="E33" s="84"/>
      <c r="F33" s="85"/>
      <c r="G33" s="85" t="s">
        <v>100</v>
      </c>
      <c r="H33" s="86">
        <f>SUM(H30:H32)</f>
        <v>110</v>
      </c>
    </row>
    <row r="34" spans="1:9" ht="30" customHeight="1" x14ac:dyDescent="0.25">
      <c r="B34" s="83"/>
      <c r="C34" s="83"/>
      <c r="E34" s="84"/>
      <c r="F34" s="85"/>
      <c r="G34" s="85"/>
      <c r="H34" s="87"/>
    </row>
    <row r="35" spans="1:9" ht="30" customHeight="1" x14ac:dyDescent="0.25">
      <c r="B35" s="83"/>
      <c r="C35" s="83"/>
      <c r="E35" s="84"/>
      <c r="F35" s="85"/>
      <c r="G35" s="85"/>
      <c r="H35" s="86"/>
    </row>
    <row r="36" spans="1:9" ht="30" customHeight="1" x14ac:dyDescent="0.25">
      <c r="B36" s="83"/>
      <c r="C36" s="83"/>
      <c r="E36" s="84"/>
      <c r="F36" s="85"/>
      <c r="G36" s="85"/>
      <c r="H36" s="86"/>
    </row>
    <row r="37" spans="1:9" ht="30" customHeight="1" x14ac:dyDescent="0.25">
      <c r="B37" s="83"/>
      <c r="C37" s="83"/>
      <c r="E37" s="84"/>
      <c r="F37" s="85"/>
      <c r="G37" s="85"/>
      <c r="H37" s="86"/>
    </row>
    <row r="38" spans="1:9" ht="30" customHeight="1" x14ac:dyDescent="0.25">
      <c r="B38" s="83"/>
      <c r="C38" s="83"/>
      <c r="E38" s="84"/>
      <c r="F38" s="85"/>
      <c r="G38" s="85"/>
      <c r="H38" s="86"/>
    </row>
    <row r="39" spans="1:9" ht="30" customHeight="1" x14ac:dyDescent="0.25">
      <c r="B39" s="83"/>
      <c r="C39" s="83"/>
      <c r="E39" s="84"/>
      <c r="F39" s="85"/>
      <c r="G39" s="85"/>
      <c r="H39" s="86"/>
    </row>
    <row r="40" spans="1:9" ht="30" customHeight="1" x14ac:dyDescent="0.2">
      <c r="B40" s="83"/>
      <c r="C40" s="88"/>
      <c r="D40" s="292" t="s">
        <v>101</v>
      </c>
      <c r="E40" s="292"/>
      <c r="F40" s="292"/>
      <c r="G40" s="89"/>
      <c r="H40" s="90"/>
    </row>
    <row r="41" spans="1:9" ht="12.75" customHeight="1" x14ac:dyDescent="0.2"/>
    <row r="42" spans="1:9" ht="12.75" x14ac:dyDescent="0.2">
      <c r="A42" s="92"/>
      <c r="B42" s="91" t="s">
        <v>102</v>
      </c>
      <c r="C42" s="92"/>
      <c r="D42" s="92"/>
      <c r="E42" s="104"/>
      <c r="F42" s="95"/>
      <c r="G42" s="95"/>
      <c r="H42" s="105" t="s">
        <v>103</v>
      </c>
      <c r="I42" s="106"/>
    </row>
    <row r="43" spans="1:9" ht="14.25" customHeight="1" x14ac:dyDescent="0.2">
      <c r="A43" s="92"/>
      <c r="B43" s="94" t="s">
        <v>104</v>
      </c>
      <c r="C43" s="53"/>
      <c r="D43" s="53"/>
      <c r="E43" s="104"/>
      <c r="F43" s="104"/>
      <c r="G43" s="283">
        <f>H33</f>
        <v>110</v>
      </c>
      <c r="H43" s="283"/>
      <c r="I43" s="298"/>
    </row>
    <row r="44" spans="1:9" ht="14.25" x14ac:dyDescent="0.2">
      <c r="A44" s="53"/>
      <c r="B44" s="94" t="s">
        <v>106</v>
      </c>
      <c r="C44" s="53"/>
      <c r="D44" s="53"/>
      <c r="E44" s="104"/>
      <c r="F44" s="104"/>
      <c r="G44" s="283"/>
      <c r="H44" s="283"/>
      <c r="I44" s="298"/>
    </row>
    <row r="45" spans="1:9" ht="14.25" x14ac:dyDescent="0.2">
      <c r="A45" s="53"/>
      <c r="B45" s="94" t="s">
        <v>107</v>
      </c>
      <c r="C45" s="53"/>
      <c r="D45" s="53"/>
      <c r="E45" s="95"/>
      <c r="F45" s="95"/>
      <c r="G45" s="95"/>
      <c r="H45" s="95"/>
      <c r="I45" s="95"/>
    </row>
    <row r="46" spans="1:9" ht="14.25" x14ac:dyDescent="0.2">
      <c r="A46" s="53"/>
      <c r="B46" s="94" t="s">
        <v>114</v>
      </c>
      <c r="C46" s="96"/>
      <c r="D46" s="96"/>
      <c r="E46" s="97"/>
      <c r="F46" s="97"/>
      <c r="G46" s="97"/>
      <c r="H46" s="97"/>
      <c r="I46" s="95"/>
    </row>
    <row r="47" spans="1:9" ht="53.25" customHeight="1" x14ac:dyDescent="0.2">
      <c r="B47" s="284"/>
      <c r="C47" s="278"/>
      <c r="D47" s="278"/>
      <c r="E47" s="278"/>
      <c r="F47" s="278"/>
      <c r="G47" s="278"/>
      <c r="H47" s="278"/>
    </row>
    <row r="51" spans="6:7" ht="15.75" customHeight="1" x14ac:dyDescent="0.2">
      <c r="F51" s="62"/>
      <c r="G51" s="62"/>
    </row>
    <row r="52" spans="6:7" ht="15.75" customHeight="1" x14ac:dyDescent="0.2">
      <c r="F52" s="62"/>
      <c r="G52" s="62"/>
    </row>
    <row r="53" spans="6:7" ht="15.75" customHeight="1" x14ac:dyDescent="0.2">
      <c r="F53" s="62"/>
      <c r="G53" s="62"/>
    </row>
    <row r="56" spans="6:7" ht="15.75" customHeight="1" x14ac:dyDescent="0.2">
      <c r="F56" s="62"/>
      <c r="G56" s="62"/>
    </row>
    <row r="58" spans="6:7" ht="15.75" customHeight="1" x14ac:dyDescent="0.2">
      <c r="F58" s="62"/>
      <c r="G58" s="62"/>
    </row>
  </sheetData>
  <mergeCells count="21">
    <mergeCell ref="G43:H44"/>
    <mergeCell ref="I43:I44"/>
    <mergeCell ref="B47:H47"/>
    <mergeCell ref="C28:D28"/>
    <mergeCell ref="C29:D29"/>
    <mergeCell ref="C30:D30"/>
    <mergeCell ref="C32:D32"/>
    <mergeCell ref="C33:D33"/>
    <mergeCell ref="D40:F40"/>
    <mergeCell ref="C27:D27"/>
    <mergeCell ref="E3:H3"/>
    <mergeCell ref="B4:D6"/>
    <mergeCell ref="E4:H4"/>
    <mergeCell ref="E5:H5"/>
    <mergeCell ref="E6:H6"/>
    <mergeCell ref="B9:H9"/>
    <mergeCell ref="B18:E18"/>
    <mergeCell ref="B19:E19"/>
    <mergeCell ref="B20:E20"/>
    <mergeCell ref="B23:E23"/>
    <mergeCell ref="B24:H24"/>
  </mergeCells>
  <conditionalFormatting sqref="B26">
    <cfRule type="notContainsBlanks" dxfId="11" priority="1">
      <formula>LEN(TRIM(B26))&gt;0</formula>
    </cfRule>
  </conditionalFormatting>
  <hyperlinks>
    <hyperlink ref="B12" r:id="rId1" xr:uid="{AC5521AC-8381-424F-A272-92E1AED4750D}"/>
  </hyperlinks>
  <printOptions horizontalCentered="1" verticalCentered="1"/>
  <pageMargins left="0.13" right="7.0000000000000007E-2" top="0.19685039370078741" bottom="0.19685039370078741" header="0.31496062992125984" footer="0.31496062992125984"/>
  <pageSetup paperSize="9" scale="83" orientation="portrait" r:id="rId2"/>
  <drawing r:id="rId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CFEB91-C39C-497A-84DE-8DC9413BB76B}">
  <sheetPr codeName="Sheet50">
    <tabColor theme="8" tint="0.39997558519241921"/>
    <outlinePr summaryBelow="0" summaryRight="0"/>
    <pageSetUpPr fitToPage="1"/>
  </sheetPr>
  <dimension ref="A1:J58"/>
  <sheetViews>
    <sheetView showGridLines="0" topLeftCell="A6" zoomScale="130" zoomScaleNormal="130" workbookViewId="0">
      <selection activeCell="H11" sqref="H11"/>
    </sheetView>
  </sheetViews>
  <sheetFormatPr defaultColWidth="14.42578125" defaultRowHeight="15.75" customHeight="1" x14ac:dyDescent="0.2"/>
  <cols>
    <col min="1" max="1" width="2.85546875" style="55" customWidth="1"/>
    <col min="2" max="3" width="14.42578125" style="55"/>
    <col min="4" max="4" width="31" style="55" customWidth="1"/>
    <col min="5" max="5" width="18.140625" style="55" bestFit="1" customWidth="1"/>
    <col min="6" max="6" width="15.140625" style="55" customWidth="1"/>
    <col min="7" max="7" width="9.7109375" style="55" customWidth="1"/>
    <col min="8" max="8" width="13.7109375" style="55" bestFit="1" customWidth="1"/>
    <col min="9" max="9" width="3.28515625" style="55" customWidth="1"/>
    <col min="10" max="16384" width="14.42578125" style="55"/>
  </cols>
  <sheetData>
    <row r="1" spans="1:10" ht="39" customHeight="1" x14ac:dyDescent="0.2">
      <c r="A1" s="54"/>
      <c r="B1" s="54"/>
      <c r="C1" s="54"/>
      <c r="D1" s="54"/>
      <c r="E1" s="54"/>
      <c r="F1" s="54"/>
      <c r="G1" s="54"/>
      <c r="H1" s="54"/>
      <c r="I1" s="54"/>
    </row>
    <row r="2" spans="1:10" x14ac:dyDescent="0.25">
      <c r="A2" s="54"/>
      <c r="B2" s="56"/>
      <c r="C2" s="56"/>
      <c r="D2" s="56"/>
      <c r="E2" s="57"/>
      <c r="F2" s="57"/>
      <c r="G2" s="57"/>
      <c r="H2" s="57"/>
      <c r="I2" s="56"/>
    </row>
    <row r="3" spans="1:10" ht="12.75" x14ac:dyDescent="0.2">
      <c r="A3" s="54"/>
      <c r="B3" s="56"/>
      <c r="C3" s="56"/>
      <c r="D3" s="56"/>
      <c r="E3" s="273"/>
      <c r="F3" s="274"/>
      <c r="G3" s="274"/>
      <c r="H3" s="274"/>
      <c r="I3" s="56"/>
    </row>
    <row r="4" spans="1:10" ht="12.75" x14ac:dyDescent="0.2">
      <c r="A4" s="54"/>
      <c r="B4" s="275" t="s">
        <v>83</v>
      </c>
      <c r="C4" s="276"/>
      <c r="D4" s="276"/>
      <c r="E4" s="277"/>
      <c r="F4" s="274"/>
      <c r="G4" s="274"/>
      <c r="H4" s="274"/>
      <c r="I4" s="56"/>
    </row>
    <row r="5" spans="1:10" ht="12.75" x14ac:dyDescent="0.2">
      <c r="A5" s="54"/>
      <c r="B5" s="276"/>
      <c r="C5" s="276"/>
      <c r="D5" s="276"/>
      <c r="E5" s="277"/>
      <c r="F5" s="274"/>
      <c r="G5" s="274"/>
      <c r="H5" s="274"/>
      <c r="I5" s="56"/>
    </row>
    <row r="6" spans="1:10" ht="12.75" x14ac:dyDescent="0.2">
      <c r="A6" s="54"/>
      <c r="B6" s="276"/>
      <c r="C6" s="276"/>
      <c r="D6" s="276"/>
      <c r="E6" s="277"/>
      <c r="F6" s="274"/>
      <c r="G6" s="274"/>
      <c r="H6" s="274"/>
      <c r="I6" s="56"/>
    </row>
    <row r="7" spans="1:10" ht="36.75" customHeight="1" x14ac:dyDescent="0.2">
      <c r="A7" s="54"/>
      <c r="B7" s="54"/>
      <c r="C7" s="54"/>
      <c r="D7" s="54"/>
      <c r="E7" s="54"/>
      <c r="F7" s="54"/>
      <c r="G7" s="54"/>
      <c r="H7" s="54"/>
      <c r="I7" s="54"/>
    </row>
    <row r="8" spans="1:10" ht="21.75" customHeight="1" x14ac:dyDescent="0.2">
      <c r="A8" s="58"/>
      <c r="B8" s="58"/>
      <c r="C8" s="58"/>
      <c r="D8" s="58"/>
      <c r="E8" s="58"/>
      <c r="F8" s="58"/>
      <c r="G8" s="58"/>
      <c r="H8" s="58"/>
      <c r="I8" s="58"/>
      <c r="J8" s="59"/>
    </row>
    <row r="9" spans="1:10" ht="15.75" customHeight="1" x14ac:dyDescent="0.2">
      <c r="B9" s="278"/>
      <c r="C9" s="278"/>
      <c r="D9" s="278"/>
      <c r="E9" s="278"/>
      <c r="F9" s="278"/>
      <c r="G9" s="278"/>
      <c r="H9" s="278"/>
    </row>
    <row r="10" spans="1:10" ht="15" customHeight="1" x14ac:dyDescent="0.2">
      <c r="A10" s="98"/>
      <c r="B10" s="60" t="s">
        <v>84</v>
      </c>
      <c r="G10" s="60"/>
      <c r="H10" s="61" t="s">
        <v>85</v>
      </c>
    </row>
    <row r="11" spans="1:10" ht="14.25" x14ac:dyDescent="0.2">
      <c r="A11" s="98"/>
      <c r="B11" s="62" t="s">
        <v>86</v>
      </c>
      <c r="G11" s="62"/>
      <c r="H11" s="63" t="str">
        <f>"SA"&amp;J11</f>
        <v>SA1040</v>
      </c>
      <c r="J11" s="55">
        <v>1040</v>
      </c>
    </row>
    <row r="12" spans="1:10" ht="15" x14ac:dyDescent="0.2">
      <c r="A12" s="98"/>
      <c r="B12" s="62" t="s">
        <v>87</v>
      </c>
      <c r="G12" s="60"/>
      <c r="H12" s="61" t="s">
        <v>88</v>
      </c>
      <c r="J12" s="55">
        <v>7</v>
      </c>
    </row>
    <row r="13" spans="1:10" ht="14.25" x14ac:dyDescent="0.2">
      <c r="A13" s="98"/>
      <c r="B13" s="62"/>
      <c r="F13" s="107"/>
      <c r="G13" s="64"/>
      <c r="H13" s="65">
        <v>44946</v>
      </c>
    </row>
    <row r="14" spans="1:10" ht="15" x14ac:dyDescent="0.2">
      <c r="A14" s="98"/>
      <c r="G14" s="60"/>
      <c r="H14" s="61" t="s">
        <v>89</v>
      </c>
    </row>
    <row r="15" spans="1:10" ht="14.25" x14ac:dyDescent="0.2">
      <c r="A15" s="98"/>
      <c r="G15" s="64"/>
      <c r="H15" s="65">
        <f>H13+J12</f>
        <v>44953</v>
      </c>
    </row>
    <row r="16" spans="1:10" ht="14.25" x14ac:dyDescent="0.2">
      <c r="A16" s="98"/>
      <c r="B16" s="62"/>
      <c r="G16" s="65"/>
      <c r="H16" s="65"/>
    </row>
    <row r="17" spans="1:8" ht="14.25" x14ac:dyDescent="0.2">
      <c r="A17" s="98"/>
      <c r="F17" s="65"/>
      <c r="G17" s="65"/>
      <c r="H17" s="66"/>
    </row>
    <row r="18" spans="1:8" ht="22.5" customHeight="1" x14ac:dyDescent="0.2">
      <c r="A18" s="98"/>
      <c r="B18" s="279" t="s">
        <v>90</v>
      </c>
      <c r="C18" s="280"/>
      <c r="D18" s="280"/>
      <c r="E18" s="280"/>
      <c r="F18" s="65"/>
      <c r="G18" s="65"/>
      <c r="H18" s="66"/>
    </row>
    <row r="19" spans="1:8" ht="15" x14ac:dyDescent="0.2">
      <c r="A19" s="98"/>
      <c r="B19" s="295" t="s">
        <v>253</v>
      </c>
      <c r="C19" s="296"/>
      <c r="D19" s="296"/>
      <c r="E19" s="296"/>
      <c r="F19" s="65"/>
      <c r="G19" s="65"/>
      <c r="H19" s="66"/>
    </row>
    <row r="20" spans="1:8" ht="14.25" x14ac:dyDescent="0.2">
      <c r="A20" s="98"/>
      <c r="B20" s="297" t="s">
        <v>254</v>
      </c>
      <c r="C20" s="296"/>
      <c r="D20" s="296"/>
      <c r="E20" s="296"/>
      <c r="F20" s="65"/>
      <c r="G20" s="65"/>
      <c r="H20" s="66"/>
    </row>
    <row r="21" spans="1:8" ht="14.25" x14ac:dyDescent="0.2">
      <c r="A21" s="98"/>
      <c r="B21" s="62"/>
      <c r="C21" s="67"/>
      <c r="D21" s="67"/>
      <c r="E21" s="67"/>
      <c r="F21" s="65"/>
      <c r="G21" s="65"/>
      <c r="H21" s="66"/>
    </row>
    <row r="22" spans="1:8" ht="14.25" x14ac:dyDescent="0.2">
      <c r="A22" s="98"/>
      <c r="B22" s="62"/>
      <c r="C22" s="67"/>
      <c r="D22" s="67"/>
      <c r="E22" s="67"/>
      <c r="F22" s="65"/>
      <c r="G22" s="65"/>
      <c r="H22" s="66"/>
    </row>
    <row r="23" spans="1:8" ht="22.5" customHeight="1" x14ac:dyDescent="0.2">
      <c r="A23" s="98"/>
      <c r="B23" s="282"/>
      <c r="C23" s="280"/>
      <c r="D23" s="280"/>
      <c r="E23" s="280"/>
      <c r="F23" s="67"/>
      <c r="G23" s="67"/>
      <c r="H23" s="67"/>
    </row>
    <row r="24" spans="1:8" ht="27.75" customHeight="1" x14ac:dyDescent="0.2">
      <c r="B24" s="280"/>
      <c r="C24" s="280"/>
      <c r="D24" s="280"/>
      <c r="E24" s="280"/>
      <c r="F24" s="280"/>
      <c r="G24" s="280"/>
      <c r="H24" s="280"/>
    </row>
    <row r="25" spans="1:8" ht="27.75" customHeight="1" x14ac:dyDescent="0.2">
      <c r="B25" s="67"/>
      <c r="C25" s="67"/>
      <c r="D25" s="67"/>
      <c r="E25" s="67"/>
      <c r="F25" s="67"/>
      <c r="G25" s="67"/>
      <c r="H25" s="67"/>
    </row>
    <row r="26" spans="1:8" ht="15.75" customHeight="1" x14ac:dyDescent="0.2">
      <c r="B26" s="67"/>
      <c r="C26" s="67"/>
      <c r="D26" s="67"/>
      <c r="E26" s="67"/>
      <c r="F26" s="67"/>
      <c r="G26" s="67"/>
      <c r="H26" s="67"/>
    </row>
    <row r="27" spans="1:8" ht="15" x14ac:dyDescent="0.25">
      <c r="B27" s="68" t="s">
        <v>88</v>
      </c>
      <c r="C27" s="272" t="s">
        <v>92</v>
      </c>
      <c r="D27" s="272"/>
      <c r="E27" s="70" t="s">
        <v>110</v>
      </c>
      <c r="F27" s="70" t="s">
        <v>111</v>
      </c>
      <c r="G27" s="70" t="s">
        <v>18</v>
      </c>
      <c r="H27" s="70" t="s">
        <v>95</v>
      </c>
    </row>
    <row r="28" spans="1:8" ht="31.5" customHeight="1" x14ac:dyDescent="0.2">
      <c r="B28" s="71">
        <v>44945</v>
      </c>
      <c r="C28" s="293" t="s">
        <v>255</v>
      </c>
      <c r="D28" s="294"/>
      <c r="E28" s="99">
        <v>38</v>
      </c>
      <c r="F28" s="100">
        <v>2</v>
      </c>
      <c r="G28" s="101">
        <v>0.1</v>
      </c>
      <c r="H28" s="99">
        <f>E28*F28</f>
        <v>76</v>
      </c>
    </row>
    <row r="29" spans="1:8" ht="14.25" x14ac:dyDescent="0.2">
      <c r="B29" s="102"/>
      <c r="C29" s="312"/>
      <c r="D29" s="313"/>
      <c r="E29" s="135"/>
      <c r="F29" s="155"/>
      <c r="G29" s="134"/>
      <c r="H29" s="135"/>
    </row>
    <row r="30" spans="1:8" ht="30" customHeight="1" x14ac:dyDescent="0.2">
      <c r="B30" s="72"/>
      <c r="C30" s="290"/>
      <c r="D30" s="280"/>
      <c r="E30" s="63"/>
      <c r="F30" s="79"/>
      <c r="G30" s="79" t="s">
        <v>97</v>
      </c>
      <c r="H30" s="80">
        <f>SUM(H28:H29)</f>
        <v>76</v>
      </c>
    </row>
    <row r="31" spans="1:8" ht="30" customHeight="1" x14ac:dyDescent="0.2">
      <c r="B31" s="72"/>
      <c r="C31" s="72"/>
      <c r="D31" s="67"/>
      <c r="E31" s="63"/>
      <c r="F31" s="79"/>
      <c r="G31" s="79" t="s">
        <v>113</v>
      </c>
      <c r="H31" s="80">
        <f>H30*0.1</f>
        <v>7.6000000000000005</v>
      </c>
    </row>
    <row r="32" spans="1:8" ht="30" customHeight="1" x14ac:dyDescent="0.2">
      <c r="B32" s="72"/>
      <c r="C32" s="290"/>
      <c r="D32" s="280"/>
      <c r="E32" s="63"/>
      <c r="F32" s="81"/>
      <c r="G32" s="81" t="s">
        <v>99</v>
      </c>
      <c r="H32" s="82">
        <v>0</v>
      </c>
    </row>
    <row r="33" spans="1:9" ht="30" customHeight="1" x14ac:dyDescent="0.25">
      <c r="B33" s="83"/>
      <c r="C33" s="291"/>
      <c r="D33" s="278"/>
      <c r="E33" s="84"/>
      <c r="F33" s="85"/>
      <c r="G33" s="85" t="s">
        <v>100</v>
      </c>
      <c r="H33" s="86">
        <f>SUM(H30:H32)</f>
        <v>83.6</v>
      </c>
    </row>
    <row r="34" spans="1:9" ht="30" customHeight="1" x14ac:dyDescent="0.25">
      <c r="B34" s="83"/>
      <c r="C34" s="83"/>
      <c r="E34" s="84"/>
      <c r="F34" s="85"/>
      <c r="G34" s="85"/>
      <c r="H34" s="87"/>
    </row>
    <row r="35" spans="1:9" ht="30" customHeight="1" x14ac:dyDescent="0.25">
      <c r="B35" s="83"/>
      <c r="C35" s="83"/>
      <c r="E35" s="84"/>
      <c r="F35" s="85"/>
      <c r="G35" s="85"/>
      <c r="H35" s="86"/>
    </row>
    <row r="36" spans="1:9" ht="30" customHeight="1" x14ac:dyDescent="0.25">
      <c r="B36" s="83"/>
      <c r="C36" s="83"/>
      <c r="E36" s="84"/>
      <c r="F36" s="85"/>
      <c r="G36" s="85"/>
      <c r="H36" s="86"/>
    </row>
    <row r="37" spans="1:9" ht="30" customHeight="1" x14ac:dyDescent="0.25">
      <c r="B37" s="83"/>
      <c r="C37" s="83"/>
      <c r="E37" s="84"/>
      <c r="F37" s="85"/>
      <c r="G37" s="85"/>
      <c r="H37" s="86"/>
    </row>
    <row r="38" spans="1:9" ht="30" customHeight="1" x14ac:dyDescent="0.25">
      <c r="B38" s="83"/>
      <c r="C38" s="83"/>
      <c r="E38" s="84"/>
      <c r="F38" s="85"/>
      <c r="G38" s="85"/>
      <c r="H38" s="86"/>
    </row>
    <row r="39" spans="1:9" ht="30" customHeight="1" x14ac:dyDescent="0.25">
      <c r="B39" s="83"/>
      <c r="C39" s="83"/>
      <c r="E39" s="84"/>
      <c r="F39" s="85"/>
      <c r="G39" s="85"/>
      <c r="H39" s="86"/>
    </row>
    <row r="40" spans="1:9" ht="30" customHeight="1" x14ac:dyDescent="0.2">
      <c r="B40" s="83"/>
      <c r="C40" s="88"/>
      <c r="D40" s="292" t="s">
        <v>101</v>
      </c>
      <c r="E40" s="292"/>
      <c r="F40" s="292"/>
      <c r="G40" s="89"/>
      <c r="H40" s="90"/>
    </row>
    <row r="41" spans="1:9" ht="12.75" customHeight="1" x14ac:dyDescent="0.2"/>
    <row r="42" spans="1:9" ht="12.75" x14ac:dyDescent="0.2">
      <c r="A42" s="92"/>
      <c r="B42" s="91" t="s">
        <v>102</v>
      </c>
      <c r="C42" s="92"/>
      <c r="D42" s="92"/>
      <c r="E42" s="104"/>
      <c r="F42" s="95"/>
      <c r="G42" s="95"/>
      <c r="H42" s="105" t="s">
        <v>103</v>
      </c>
      <c r="I42" s="106"/>
    </row>
    <row r="43" spans="1:9" ht="14.25" customHeight="1" x14ac:dyDescent="0.2">
      <c r="A43" s="92"/>
      <c r="B43" s="94" t="s">
        <v>104</v>
      </c>
      <c r="C43" s="53"/>
      <c r="D43" s="53"/>
      <c r="E43" s="104"/>
      <c r="F43" s="104"/>
      <c r="G43" s="283">
        <f>H33</f>
        <v>83.6</v>
      </c>
      <c r="H43" s="283"/>
      <c r="I43" s="298"/>
    </row>
    <row r="44" spans="1:9" ht="14.25" x14ac:dyDescent="0.2">
      <c r="A44" s="53"/>
      <c r="B44" s="94" t="s">
        <v>106</v>
      </c>
      <c r="C44" s="53"/>
      <c r="D44" s="53"/>
      <c r="E44" s="104"/>
      <c r="F44" s="104"/>
      <c r="G44" s="283"/>
      <c r="H44" s="283"/>
      <c r="I44" s="298"/>
    </row>
    <row r="45" spans="1:9" ht="14.25" x14ac:dyDescent="0.2">
      <c r="A45" s="53"/>
      <c r="B45" s="94" t="s">
        <v>107</v>
      </c>
      <c r="C45" s="53"/>
      <c r="D45" s="53"/>
      <c r="E45" s="95"/>
      <c r="F45" s="95"/>
      <c r="G45" s="95"/>
      <c r="H45" s="95"/>
      <c r="I45" s="95"/>
    </row>
    <row r="46" spans="1:9" ht="14.25" x14ac:dyDescent="0.2">
      <c r="A46" s="53"/>
      <c r="B46" s="94" t="s">
        <v>114</v>
      </c>
      <c r="C46" s="96"/>
      <c r="D46" s="96"/>
      <c r="E46" s="97"/>
      <c r="F46" s="97"/>
      <c r="G46" s="97"/>
      <c r="H46" s="97"/>
      <c r="I46" s="95"/>
    </row>
    <row r="47" spans="1:9" ht="53.25" customHeight="1" x14ac:dyDescent="0.2">
      <c r="B47" s="284"/>
      <c r="C47" s="278"/>
      <c r="D47" s="278"/>
      <c r="E47" s="278"/>
      <c r="F47" s="278"/>
      <c r="G47" s="278"/>
      <c r="H47" s="278"/>
    </row>
    <row r="51" spans="6:7" ht="15.75" customHeight="1" x14ac:dyDescent="0.2">
      <c r="F51" s="62"/>
      <c r="G51" s="62"/>
    </row>
    <row r="52" spans="6:7" ht="15.75" customHeight="1" x14ac:dyDescent="0.2">
      <c r="F52" s="62"/>
      <c r="G52" s="62"/>
    </row>
    <row r="53" spans="6:7" ht="15.75" customHeight="1" x14ac:dyDescent="0.2">
      <c r="F53" s="62"/>
      <c r="G53" s="62"/>
    </row>
    <row r="56" spans="6:7" ht="15.75" customHeight="1" x14ac:dyDescent="0.2">
      <c r="F56" s="62"/>
      <c r="G56" s="62"/>
    </row>
    <row r="58" spans="6:7" ht="15.75" customHeight="1" x14ac:dyDescent="0.2">
      <c r="F58" s="62"/>
      <c r="G58" s="62"/>
    </row>
  </sheetData>
  <mergeCells count="21">
    <mergeCell ref="G43:H44"/>
    <mergeCell ref="I43:I44"/>
    <mergeCell ref="B47:H47"/>
    <mergeCell ref="C28:D28"/>
    <mergeCell ref="C29:D29"/>
    <mergeCell ref="C30:D30"/>
    <mergeCell ref="C32:D32"/>
    <mergeCell ref="C33:D33"/>
    <mergeCell ref="D40:F40"/>
    <mergeCell ref="C27:D27"/>
    <mergeCell ref="E3:H3"/>
    <mergeCell ref="B4:D6"/>
    <mergeCell ref="E4:H4"/>
    <mergeCell ref="E5:H5"/>
    <mergeCell ref="E6:H6"/>
    <mergeCell ref="B9:H9"/>
    <mergeCell ref="B18:E18"/>
    <mergeCell ref="B19:E19"/>
    <mergeCell ref="B20:E20"/>
    <mergeCell ref="B23:E23"/>
    <mergeCell ref="B24:H24"/>
  </mergeCells>
  <conditionalFormatting sqref="B26">
    <cfRule type="notContainsBlanks" dxfId="10" priority="1">
      <formula>LEN(TRIM(B26))&gt;0</formula>
    </cfRule>
  </conditionalFormatting>
  <hyperlinks>
    <hyperlink ref="B12" r:id="rId1" xr:uid="{26F50FBB-D04F-42AF-A550-393A3B0E730D}"/>
  </hyperlinks>
  <printOptions horizontalCentered="1" verticalCentered="1"/>
  <pageMargins left="0.13" right="7.0000000000000007E-2" top="0.19685039370078741" bottom="0.19685039370078741" header="0.31496062992125984" footer="0.31496062992125984"/>
  <pageSetup paperSize="9" scale="83" orientation="portrait" r:id="rId2"/>
  <drawing r:id="rId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95FB46-644D-48B9-A094-7C54ACFE84E4}">
  <sheetPr codeName="Sheet51">
    <tabColor theme="8" tint="0.39997558519241921"/>
    <outlinePr summaryBelow="0" summaryRight="0"/>
    <pageSetUpPr fitToPage="1"/>
  </sheetPr>
  <dimension ref="A1:K61"/>
  <sheetViews>
    <sheetView showGridLines="0" topLeftCell="A4" zoomScale="115" zoomScaleNormal="115" workbookViewId="0">
      <selection activeCell="H11" sqref="H11"/>
    </sheetView>
  </sheetViews>
  <sheetFormatPr defaultColWidth="14.42578125" defaultRowHeight="15.75" customHeight="1" x14ac:dyDescent="0.2"/>
  <cols>
    <col min="1" max="1" width="3.7109375" style="55" customWidth="1"/>
    <col min="2" max="3" width="14.42578125" style="55"/>
    <col min="4" max="4" width="28.28515625" style="55" customWidth="1"/>
    <col min="5" max="5" width="18.140625" style="55" bestFit="1" customWidth="1"/>
    <col min="6" max="6" width="14.42578125" style="55" customWidth="1"/>
    <col min="7" max="7" width="13.28515625" style="55" customWidth="1"/>
    <col min="8" max="8" width="16.42578125" style="55" customWidth="1"/>
    <col min="9" max="9" width="2.42578125" style="55" customWidth="1"/>
    <col min="10" max="16384" width="14.42578125" style="55"/>
  </cols>
  <sheetData>
    <row r="1" spans="1:11" ht="39" customHeight="1" x14ac:dyDescent="0.2">
      <c r="A1" s="54"/>
      <c r="B1" s="54"/>
      <c r="C1" s="54"/>
      <c r="D1" s="54"/>
      <c r="E1" s="54"/>
      <c r="F1" s="54"/>
      <c r="G1" s="54"/>
      <c r="H1" s="54"/>
      <c r="I1" s="54"/>
    </row>
    <row r="2" spans="1:11" x14ac:dyDescent="0.25">
      <c r="A2" s="54"/>
      <c r="B2" s="56"/>
      <c r="C2" s="56"/>
      <c r="D2" s="56"/>
      <c r="E2" s="57"/>
      <c r="F2" s="57"/>
      <c r="G2" s="57"/>
      <c r="H2" s="57"/>
      <c r="I2" s="56"/>
    </row>
    <row r="3" spans="1:11" ht="20.25" x14ac:dyDescent="0.3">
      <c r="A3" s="54"/>
      <c r="B3" s="56"/>
      <c r="C3" s="56"/>
      <c r="D3" s="56"/>
      <c r="E3" s="273"/>
      <c r="F3" s="274"/>
      <c r="G3" s="274"/>
      <c r="H3" s="274"/>
      <c r="I3" s="56"/>
      <c r="K3" s="156" t="s">
        <v>256</v>
      </c>
    </row>
    <row r="4" spans="1:11" ht="12.75" x14ac:dyDescent="0.2">
      <c r="A4" s="54"/>
      <c r="B4" s="275" t="s">
        <v>83</v>
      </c>
      <c r="C4" s="276"/>
      <c r="D4" s="276"/>
      <c r="E4" s="277"/>
      <c r="F4" s="274"/>
      <c r="G4" s="274"/>
      <c r="H4" s="274"/>
      <c r="I4" s="56"/>
    </row>
    <row r="5" spans="1:11" ht="12.75" x14ac:dyDescent="0.2">
      <c r="A5" s="54"/>
      <c r="B5" s="276"/>
      <c r="C5" s="276"/>
      <c r="D5" s="276"/>
      <c r="E5" s="277"/>
      <c r="F5" s="274"/>
      <c r="G5" s="274"/>
      <c r="H5" s="274"/>
      <c r="I5" s="56"/>
    </row>
    <row r="6" spans="1:11" ht="12.75" x14ac:dyDescent="0.2">
      <c r="A6" s="54"/>
      <c r="B6" s="276"/>
      <c r="C6" s="276"/>
      <c r="D6" s="276"/>
      <c r="E6" s="277"/>
      <c r="F6" s="274"/>
      <c r="G6" s="274"/>
      <c r="H6" s="274"/>
      <c r="I6" s="56"/>
    </row>
    <row r="7" spans="1:11" ht="36.75" customHeight="1" x14ac:dyDescent="0.2">
      <c r="A7" s="54"/>
      <c r="B7" s="54"/>
      <c r="C7" s="54"/>
      <c r="D7" s="54"/>
      <c r="E7" s="54"/>
      <c r="F7" s="54"/>
      <c r="G7" s="54"/>
      <c r="H7" s="54"/>
      <c r="I7" s="54"/>
    </row>
    <row r="8" spans="1:11" ht="21.75" customHeight="1" x14ac:dyDescent="0.2">
      <c r="A8" s="58"/>
      <c r="B8" s="58"/>
      <c r="C8" s="58"/>
      <c r="D8" s="58"/>
      <c r="E8" s="58"/>
      <c r="F8" s="58"/>
      <c r="G8" s="58"/>
      <c r="H8" s="58"/>
      <c r="I8" s="58"/>
      <c r="J8" s="59"/>
    </row>
    <row r="9" spans="1:11" ht="15.75" customHeight="1" x14ac:dyDescent="0.2">
      <c r="B9" s="278"/>
      <c r="C9" s="278"/>
      <c r="D9" s="278"/>
      <c r="E9" s="278"/>
      <c r="F9" s="278"/>
      <c r="G9" s="278"/>
      <c r="H9" s="278"/>
    </row>
    <row r="10" spans="1:11" ht="15" customHeight="1" x14ac:dyDescent="0.2">
      <c r="A10" s="98"/>
      <c r="B10" s="60" t="s">
        <v>84</v>
      </c>
      <c r="G10" s="60"/>
      <c r="H10" s="61" t="s">
        <v>85</v>
      </c>
    </row>
    <row r="11" spans="1:11" ht="14.25" x14ac:dyDescent="0.2">
      <c r="A11" s="98"/>
      <c r="B11" s="62" t="s">
        <v>86</v>
      </c>
      <c r="G11" s="62"/>
      <c r="H11" s="63" t="str">
        <f>"TL"&amp;J11</f>
        <v>TL110</v>
      </c>
      <c r="J11" s="55">
        <v>110</v>
      </c>
    </row>
    <row r="12" spans="1:11" ht="15" x14ac:dyDescent="0.2">
      <c r="A12" s="98"/>
      <c r="B12" s="62" t="s">
        <v>87</v>
      </c>
      <c r="G12" s="60"/>
      <c r="H12" s="61" t="s">
        <v>88</v>
      </c>
      <c r="J12" s="55">
        <v>6</v>
      </c>
    </row>
    <row r="13" spans="1:11" ht="14.25" x14ac:dyDescent="0.2">
      <c r="A13" s="98"/>
      <c r="B13" s="62"/>
      <c r="G13" s="64"/>
      <c r="H13" s="65">
        <v>44949</v>
      </c>
    </row>
    <row r="14" spans="1:11" ht="15" x14ac:dyDescent="0.2">
      <c r="A14" s="98"/>
      <c r="G14" s="60"/>
      <c r="H14" s="61" t="s">
        <v>89</v>
      </c>
    </row>
    <row r="15" spans="1:11" ht="14.25" x14ac:dyDescent="0.2">
      <c r="A15" s="98"/>
      <c r="G15" s="64"/>
      <c r="H15" s="65">
        <f>H13+J12</f>
        <v>44955</v>
      </c>
    </row>
    <row r="16" spans="1:11" ht="14.25" x14ac:dyDescent="0.2">
      <c r="A16" s="98"/>
      <c r="B16" s="62"/>
      <c r="F16" s="65"/>
      <c r="G16" s="65"/>
      <c r="H16" s="65"/>
    </row>
    <row r="17" spans="1:11" ht="14.25" x14ac:dyDescent="0.2">
      <c r="A17" s="98"/>
      <c r="F17" s="65"/>
      <c r="G17" s="65"/>
      <c r="H17" s="66"/>
    </row>
    <row r="18" spans="1:11" ht="22.5" customHeight="1" x14ac:dyDescent="0.2">
      <c r="A18" s="98"/>
      <c r="B18" s="279" t="s">
        <v>90</v>
      </c>
      <c r="C18" s="280"/>
      <c r="D18" s="280"/>
      <c r="E18" s="280"/>
      <c r="F18" s="65"/>
      <c r="G18" s="65"/>
      <c r="H18" s="66"/>
    </row>
    <row r="19" spans="1:11" ht="15.75" customHeight="1" x14ac:dyDescent="0.2">
      <c r="A19" s="98"/>
      <c r="B19" s="295" t="s">
        <v>257</v>
      </c>
      <c r="C19" s="296"/>
      <c r="D19" s="296"/>
      <c r="E19" s="296"/>
      <c r="F19" s="65"/>
      <c r="G19" s="65"/>
      <c r="H19" s="66"/>
    </row>
    <row r="20" spans="1:11" ht="15.75" customHeight="1" x14ac:dyDescent="0.2">
      <c r="A20" s="98"/>
      <c r="B20" s="297" t="s">
        <v>258</v>
      </c>
      <c r="C20" s="296"/>
      <c r="D20" s="296"/>
      <c r="E20" s="296"/>
      <c r="F20" s="65"/>
      <c r="G20" s="65"/>
      <c r="H20" s="66"/>
    </row>
    <row r="21" spans="1:11" ht="14.25" x14ac:dyDescent="0.2">
      <c r="A21" s="98"/>
      <c r="B21" s="62"/>
      <c r="C21" s="67"/>
      <c r="D21" s="67"/>
      <c r="E21" s="67"/>
      <c r="F21" s="65"/>
      <c r="G21" s="65"/>
      <c r="H21" s="66"/>
    </row>
    <row r="22" spans="1:11" ht="14.25" x14ac:dyDescent="0.2">
      <c r="A22" s="98"/>
      <c r="B22" s="62"/>
      <c r="C22" s="67"/>
      <c r="D22" s="67"/>
      <c r="E22" s="67"/>
      <c r="F22" s="65"/>
      <c r="G22" s="65"/>
      <c r="H22" s="66"/>
    </row>
    <row r="23" spans="1:11" ht="22.5" customHeight="1" x14ac:dyDescent="0.2">
      <c r="A23" s="98"/>
      <c r="B23" s="282"/>
      <c r="C23" s="280"/>
      <c r="D23" s="280"/>
      <c r="E23" s="280"/>
      <c r="F23" s="67"/>
      <c r="G23" s="67"/>
      <c r="H23" s="67"/>
    </row>
    <row r="24" spans="1:11" ht="27.75" customHeight="1" x14ac:dyDescent="0.2">
      <c r="B24" s="280"/>
      <c r="C24" s="280"/>
      <c r="D24" s="280"/>
      <c r="E24" s="280"/>
      <c r="F24" s="280"/>
      <c r="G24" s="280"/>
      <c r="H24" s="280"/>
    </row>
    <row r="25" spans="1:11" ht="27.75" customHeight="1" x14ac:dyDescent="0.2">
      <c r="B25" s="67"/>
      <c r="C25" s="67"/>
      <c r="D25" s="67"/>
      <c r="E25" s="67"/>
      <c r="F25" s="67"/>
      <c r="G25" s="67"/>
      <c r="H25" s="67"/>
    </row>
    <row r="26" spans="1:11" ht="15.75" customHeight="1" x14ac:dyDescent="0.2">
      <c r="B26" s="67"/>
      <c r="C26" s="67"/>
      <c r="D26" s="67"/>
      <c r="E26" s="67"/>
      <c r="F26" s="67"/>
      <c r="G26" s="67"/>
      <c r="H26" s="67"/>
    </row>
    <row r="27" spans="1:11" ht="15" x14ac:dyDescent="0.25">
      <c r="B27" s="68" t="s">
        <v>88</v>
      </c>
      <c r="C27" s="272" t="s">
        <v>92</v>
      </c>
      <c r="D27" s="272"/>
      <c r="E27" s="69" t="s">
        <v>110</v>
      </c>
      <c r="F27" s="69" t="s">
        <v>94</v>
      </c>
      <c r="G27" s="70" t="s">
        <v>18</v>
      </c>
      <c r="H27" s="69" t="s">
        <v>121</v>
      </c>
    </row>
    <row r="28" spans="1:11" ht="25.5" customHeight="1" x14ac:dyDescent="0.2">
      <c r="B28" s="71">
        <v>44944</v>
      </c>
      <c r="C28" s="290" t="s">
        <v>259</v>
      </c>
      <c r="D28" s="280"/>
      <c r="E28" s="73">
        <v>38.5</v>
      </c>
      <c r="F28" s="74">
        <v>4</v>
      </c>
      <c r="G28" s="138">
        <v>0.1</v>
      </c>
      <c r="H28" s="73">
        <f>E28*F28</f>
        <v>154</v>
      </c>
      <c r="K28" s="139"/>
    </row>
    <row r="29" spans="1:11" ht="25.5" customHeight="1" x14ac:dyDescent="0.2">
      <c r="B29" s="71">
        <f>B28+2</f>
        <v>44946</v>
      </c>
      <c r="C29" s="290" t="s">
        <v>259</v>
      </c>
      <c r="D29" s="280"/>
      <c r="E29" s="73">
        <v>38.5</v>
      </c>
      <c r="F29" s="74">
        <v>4</v>
      </c>
      <c r="G29" s="138">
        <v>0.1</v>
      </c>
      <c r="H29" s="73">
        <f>E29*F29</f>
        <v>154</v>
      </c>
    </row>
    <row r="30" spans="1:11" ht="14.25" x14ac:dyDescent="0.2">
      <c r="B30" s="71"/>
      <c r="C30" s="72"/>
      <c r="D30" s="67"/>
      <c r="E30" s="73"/>
      <c r="F30" s="74"/>
      <c r="G30" s="138"/>
      <c r="H30" s="73"/>
    </row>
    <row r="31" spans="1:11" ht="14.25" x14ac:dyDescent="0.2">
      <c r="B31" s="102"/>
      <c r="C31" s="76"/>
      <c r="D31" s="76"/>
      <c r="E31" s="77"/>
      <c r="F31" s="78"/>
      <c r="G31" s="129"/>
      <c r="H31" s="77"/>
    </row>
    <row r="32" spans="1:11" ht="30" customHeight="1" x14ac:dyDescent="0.2">
      <c r="B32" s="72"/>
      <c r="C32" s="290"/>
      <c r="D32" s="280"/>
      <c r="E32" s="63"/>
      <c r="F32" s="79" t="s">
        <v>97</v>
      </c>
      <c r="G32" s="79"/>
      <c r="H32" s="80">
        <f>SUM(H28:H31)</f>
        <v>308</v>
      </c>
    </row>
    <row r="33" spans="1:9" ht="30" customHeight="1" x14ac:dyDescent="0.2">
      <c r="B33" s="72"/>
      <c r="C33" s="72"/>
      <c r="D33" s="67"/>
      <c r="E33" s="63"/>
      <c r="F33" s="79" t="s">
        <v>98</v>
      </c>
      <c r="G33" s="79"/>
      <c r="H33" s="80">
        <f>H32*0.1</f>
        <v>30.8</v>
      </c>
    </row>
    <row r="34" spans="1:9" ht="30" customHeight="1" x14ac:dyDescent="0.2">
      <c r="B34" s="72"/>
      <c r="C34" s="290"/>
      <c r="D34" s="280"/>
      <c r="E34" s="63"/>
      <c r="F34" s="81" t="s">
        <v>99</v>
      </c>
      <c r="G34" s="81"/>
      <c r="H34" s="82">
        <v>0</v>
      </c>
    </row>
    <row r="35" spans="1:9" ht="30" customHeight="1" x14ac:dyDescent="0.25">
      <c r="B35" s="83"/>
      <c r="C35" s="291"/>
      <c r="D35" s="278"/>
      <c r="E35" s="84"/>
      <c r="F35" s="85" t="s">
        <v>100</v>
      </c>
      <c r="G35" s="85"/>
      <c r="H35" s="86">
        <f>SUM(H32:H34)</f>
        <v>338.8</v>
      </c>
    </row>
    <row r="36" spans="1:9" ht="30" customHeight="1" x14ac:dyDescent="0.25">
      <c r="B36" s="83"/>
      <c r="C36" s="83"/>
      <c r="E36" s="84"/>
      <c r="F36" s="85"/>
      <c r="G36" s="85"/>
      <c r="H36" s="87"/>
    </row>
    <row r="37" spans="1:9" ht="30" customHeight="1" x14ac:dyDescent="0.25">
      <c r="B37" s="83"/>
      <c r="C37" s="83"/>
      <c r="E37" s="84"/>
      <c r="F37" s="85"/>
      <c r="G37" s="85"/>
      <c r="H37" s="86"/>
    </row>
    <row r="38" spans="1:9" ht="30" customHeight="1" x14ac:dyDescent="0.25">
      <c r="B38" s="83"/>
      <c r="C38" s="83"/>
      <c r="E38" s="84"/>
      <c r="F38" s="85"/>
      <c r="G38" s="85"/>
      <c r="H38" s="86"/>
    </row>
    <row r="39" spans="1:9" ht="30" customHeight="1" x14ac:dyDescent="0.25">
      <c r="B39" s="83"/>
      <c r="C39" s="83"/>
      <c r="E39" s="84"/>
      <c r="F39" s="85"/>
      <c r="G39" s="85"/>
      <c r="H39" s="86"/>
    </row>
    <row r="40" spans="1:9" ht="30" customHeight="1" x14ac:dyDescent="0.25">
      <c r="B40" s="83"/>
      <c r="C40" s="83"/>
      <c r="E40" s="84"/>
      <c r="F40" s="85"/>
      <c r="G40" s="85"/>
      <c r="H40" s="86"/>
    </row>
    <row r="41" spans="1:9" ht="30" customHeight="1" x14ac:dyDescent="0.25">
      <c r="B41" s="83"/>
      <c r="C41" s="83"/>
      <c r="E41" s="84"/>
      <c r="F41" s="85"/>
      <c r="G41" s="85"/>
      <c r="H41" s="86"/>
    </row>
    <row r="42" spans="1:9" ht="30" customHeight="1" x14ac:dyDescent="0.25">
      <c r="B42" s="83"/>
      <c r="C42" s="83"/>
      <c r="E42" s="84"/>
      <c r="F42" s="85"/>
      <c r="G42" s="85"/>
      <c r="H42" s="86"/>
    </row>
    <row r="43" spans="1:9" ht="30" customHeight="1" x14ac:dyDescent="0.2">
      <c r="B43" s="83"/>
      <c r="C43" s="88"/>
      <c r="D43" s="292" t="s">
        <v>101</v>
      </c>
      <c r="E43" s="292"/>
      <c r="F43" s="292"/>
      <c r="G43" s="89"/>
      <c r="H43" s="90"/>
    </row>
    <row r="44" spans="1:9" ht="12.75" customHeight="1" x14ac:dyDescent="0.2"/>
    <row r="45" spans="1:9" ht="12.75" x14ac:dyDescent="0.2">
      <c r="A45" s="92"/>
      <c r="B45" s="91" t="s">
        <v>102</v>
      </c>
      <c r="C45" s="92"/>
      <c r="D45" s="92"/>
      <c r="E45" s="300" t="s">
        <v>103</v>
      </c>
      <c r="F45" s="300"/>
      <c r="G45" s="300"/>
      <c r="H45" s="300"/>
      <c r="I45" s="106"/>
    </row>
    <row r="46" spans="1:9" ht="14.25" customHeight="1" x14ac:dyDescent="0.2">
      <c r="A46" s="92"/>
      <c r="B46" s="94" t="s">
        <v>104</v>
      </c>
      <c r="C46" s="53"/>
      <c r="D46" s="53"/>
      <c r="E46" s="283">
        <f>H35</f>
        <v>338.8</v>
      </c>
      <c r="F46" s="283"/>
      <c r="G46" s="283"/>
      <c r="H46" s="283"/>
      <c r="I46" s="106"/>
    </row>
    <row r="47" spans="1:9" ht="14.25" x14ac:dyDescent="0.2">
      <c r="A47" s="53"/>
      <c r="B47" s="94" t="s">
        <v>105</v>
      </c>
      <c r="C47" s="53"/>
      <c r="D47" s="53"/>
      <c r="E47" s="283"/>
      <c r="F47" s="283"/>
      <c r="G47" s="283"/>
      <c r="H47" s="283"/>
      <c r="I47" s="106"/>
    </row>
    <row r="48" spans="1:9" ht="14.25" x14ac:dyDescent="0.2">
      <c r="A48" s="53"/>
      <c r="B48" s="94" t="s">
        <v>106</v>
      </c>
      <c r="C48" s="53"/>
      <c r="D48" s="53"/>
      <c r="E48" s="95"/>
      <c r="F48" s="95"/>
      <c r="G48" s="95"/>
      <c r="H48" s="95"/>
      <c r="I48" s="95"/>
    </row>
    <row r="49" spans="1:9" ht="14.25" x14ac:dyDescent="0.2">
      <c r="A49" s="53"/>
      <c r="B49" s="94" t="s">
        <v>107</v>
      </c>
      <c r="C49" s="96"/>
      <c r="D49" s="96"/>
      <c r="E49" s="97"/>
      <c r="F49" s="97"/>
      <c r="G49" s="97"/>
      <c r="H49" s="97"/>
      <c r="I49" s="95"/>
    </row>
    <row r="50" spans="1:9" ht="53.25" customHeight="1" x14ac:dyDescent="0.2">
      <c r="B50" s="284"/>
      <c r="C50" s="278"/>
      <c r="D50" s="278"/>
      <c r="E50" s="278"/>
      <c r="F50" s="278"/>
      <c r="G50" s="278"/>
      <c r="H50" s="278"/>
    </row>
    <row r="54" spans="1:9" ht="15.75" customHeight="1" x14ac:dyDescent="0.2">
      <c r="F54" s="62"/>
      <c r="G54" s="62"/>
    </row>
    <row r="55" spans="1:9" ht="15.75" customHeight="1" x14ac:dyDescent="0.2">
      <c r="F55" s="62"/>
      <c r="G55" s="62"/>
    </row>
    <row r="56" spans="1:9" ht="15.75" customHeight="1" x14ac:dyDescent="0.2">
      <c r="F56" s="62"/>
      <c r="G56" s="62"/>
    </row>
    <row r="59" spans="1:9" ht="15.75" customHeight="1" x14ac:dyDescent="0.2">
      <c r="F59" s="62"/>
      <c r="G59" s="62"/>
    </row>
    <row r="61" spans="1:9" ht="15.75" customHeight="1" x14ac:dyDescent="0.2">
      <c r="F61" s="62"/>
      <c r="G61" s="62"/>
    </row>
  </sheetData>
  <mergeCells count="21">
    <mergeCell ref="E45:H45"/>
    <mergeCell ref="E46:H47"/>
    <mergeCell ref="B50:H50"/>
    <mergeCell ref="C28:D28"/>
    <mergeCell ref="C29:D29"/>
    <mergeCell ref="C32:D32"/>
    <mergeCell ref="C34:D34"/>
    <mergeCell ref="C35:D35"/>
    <mergeCell ref="D43:F43"/>
    <mergeCell ref="C27:D27"/>
    <mergeCell ref="E3:H3"/>
    <mergeCell ref="B4:D6"/>
    <mergeCell ref="E4:H4"/>
    <mergeCell ref="E5:H5"/>
    <mergeCell ref="E6:H6"/>
    <mergeCell ref="B9:H9"/>
    <mergeCell ref="B18:E18"/>
    <mergeCell ref="B19:E19"/>
    <mergeCell ref="B20:E20"/>
    <mergeCell ref="B23:E23"/>
    <mergeCell ref="B24:H24"/>
  </mergeCells>
  <conditionalFormatting sqref="B26">
    <cfRule type="notContainsBlanks" dxfId="9" priority="1">
      <formula>LEN(TRIM(B26))&gt;0</formula>
    </cfRule>
  </conditionalFormatting>
  <hyperlinks>
    <hyperlink ref="B12" r:id="rId1" xr:uid="{5A4471D2-B20D-46F5-9E8F-0A6873E73283}"/>
  </hyperlinks>
  <printOptions horizontalCentered="1" verticalCentered="1"/>
  <pageMargins left="0.31496062992125984" right="0.27559055118110237" top="0.62992125984251968" bottom="0.51181102362204722" header="0.31496062992125984" footer="0.35433070866141736"/>
  <pageSetup paperSize="9" scale="77" orientation="portrait" r:id="rId2"/>
  <drawing r:id="rId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EF5812-377E-4E6C-B296-C5CBD72F7191}">
  <sheetPr codeName="Sheet54">
    <tabColor theme="9" tint="-0.499984740745262"/>
    <outlinePr summaryBelow="0" summaryRight="0"/>
    <pageSetUpPr fitToPage="1"/>
  </sheetPr>
  <dimension ref="A1:J59"/>
  <sheetViews>
    <sheetView showGridLines="0" workbookViewId="0">
      <selection activeCell="L9" sqref="L9"/>
    </sheetView>
  </sheetViews>
  <sheetFormatPr defaultColWidth="14.42578125" defaultRowHeight="15.75" customHeight="1" x14ac:dyDescent="0.2"/>
  <cols>
    <col min="1" max="1" width="3.42578125" style="55" customWidth="1"/>
    <col min="2" max="3" width="14.42578125" style="55"/>
    <col min="4" max="4" width="26.7109375" style="55" customWidth="1"/>
    <col min="5" max="5" width="18.140625" style="55" bestFit="1" customWidth="1"/>
    <col min="6" max="6" width="16.42578125" style="55" customWidth="1"/>
    <col min="7" max="7" width="12.7109375" style="55" customWidth="1"/>
    <col min="8" max="8" width="17.42578125" style="55" customWidth="1"/>
    <col min="9" max="9" width="3.42578125" style="55" customWidth="1"/>
    <col min="10" max="16384" width="14.42578125" style="55"/>
  </cols>
  <sheetData>
    <row r="1" spans="1:10" ht="39" customHeight="1" x14ac:dyDescent="0.2">
      <c r="A1" s="53"/>
      <c r="B1" s="54"/>
      <c r="C1" s="54"/>
      <c r="D1" s="54"/>
      <c r="E1" s="54"/>
      <c r="F1" s="54"/>
      <c r="G1" s="54"/>
      <c r="H1" s="54"/>
      <c r="I1" s="54"/>
    </row>
    <row r="2" spans="1:10" x14ac:dyDescent="0.25">
      <c r="A2" s="53"/>
      <c r="B2" s="56"/>
      <c r="C2" s="56"/>
      <c r="D2" s="56"/>
      <c r="E2" s="57"/>
      <c r="F2" s="57"/>
      <c r="G2" s="57"/>
      <c r="H2" s="57"/>
      <c r="I2" s="56"/>
    </row>
    <row r="3" spans="1:10" ht="12.75" x14ac:dyDescent="0.2">
      <c r="A3" s="53"/>
      <c r="B3" s="56"/>
      <c r="C3" s="56"/>
      <c r="D3" s="56"/>
      <c r="E3" s="273"/>
      <c r="F3" s="274"/>
      <c r="G3" s="274"/>
      <c r="H3" s="274"/>
      <c r="I3" s="56"/>
    </row>
    <row r="4" spans="1:10" ht="12.75" x14ac:dyDescent="0.2">
      <c r="A4" s="53"/>
      <c r="B4" s="275" t="s">
        <v>83</v>
      </c>
      <c r="C4" s="276"/>
      <c r="D4" s="276"/>
      <c r="E4" s="277"/>
      <c r="F4" s="274"/>
      <c r="G4" s="274"/>
      <c r="H4" s="274"/>
      <c r="I4" s="56"/>
    </row>
    <row r="5" spans="1:10" ht="12.75" x14ac:dyDescent="0.2">
      <c r="A5" s="53"/>
      <c r="B5" s="276"/>
      <c r="C5" s="276"/>
      <c r="D5" s="276"/>
      <c r="E5" s="277"/>
      <c r="F5" s="274"/>
      <c r="G5" s="274"/>
      <c r="H5" s="274"/>
      <c r="I5" s="56"/>
    </row>
    <row r="6" spans="1:10" ht="12.75" x14ac:dyDescent="0.2">
      <c r="A6" s="53"/>
      <c r="B6" s="276"/>
      <c r="C6" s="276"/>
      <c r="D6" s="276"/>
      <c r="E6" s="277"/>
      <c r="F6" s="274"/>
      <c r="G6" s="274"/>
      <c r="H6" s="274"/>
      <c r="I6" s="56"/>
    </row>
    <row r="7" spans="1:10" ht="36.75" customHeight="1" x14ac:dyDescent="0.2">
      <c r="A7" s="53"/>
      <c r="B7" s="54"/>
      <c r="C7" s="54"/>
      <c r="D7" s="54"/>
      <c r="E7" s="54"/>
      <c r="F7" s="54"/>
      <c r="G7" s="54"/>
      <c r="H7" s="54"/>
      <c r="I7" s="54"/>
    </row>
    <row r="8" spans="1:10" ht="21.75" customHeight="1" x14ac:dyDescent="0.2">
      <c r="B8" s="58"/>
      <c r="C8" s="58"/>
      <c r="D8" s="58"/>
      <c r="E8" s="58"/>
      <c r="F8" s="58"/>
      <c r="G8" s="58"/>
      <c r="H8" s="58"/>
      <c r="I8" s="58"/>
      <c r="J8" s="59"/>
    </row>
    <row r="9" spans="1:10" ht="15.75" customHeight="1" x14ac:dyDescent="0.2">
      <c r="B9" s="278"/>
      <c r="C9" s="278"/>
      <c r="D9" s="278"/>
      <c r="E9" s="278"/>
      <c r="F9" s="278"/>
      <c r="G9" s="278"/>
      <c r="H9" s="278"/>
    </row>
    <row r="10" spans="1:10" ht="15" customHeight="1" x14ac:dyDescent="0.2">
      <c r="B10" s="60" t="s">
        <v>84</v>
      </c>
      <c r="G10" s="60"/>
      <c r="H10" s="61" t="s">
        <v>85</v>
      </c>
    </row>
    <row r="11" spans="1:10" ht="14.25" x14ac:dyDescent="0.2">
      <c r="B11" s="62" t="s">
        <v>86</v>
      </c>
      <c r="G11" s="62"/>
      <c r="H11" s="63" t="str">
        <f>"AC"&amp;J11</f>
        <v>AC23</v>
      </c>
      <c r="J11" s="55">
        <v>23</v>
      </c>
    </row>
    <row r="12" spans="1:10" ht="15" x14ac:dyDescent="0.2">
      <c r="B12" s="62" t="s">
        <v>87</v>
      </c>
      <c r="G12" s="60"/>
      <c r="H12" s="61" t="s">
        <v>88</v>
      </c>
      <c r="J12" s="55">
        <v>7</v>
      </c>
    </row>
    <row r="13" spans="1:10" ht="14.25" x14ac:dyDescent="0.2">
      <c r="B13" s="62"/>
      <c r="G13" s="64"/>
      <c r="H13" s="65">
        <v>44946</v>
      </c>
    </row>
    <row r="14" spans="1:10" ht="15" x14ac:dyDescent="0.2">
      <c r="G14" s="60"/>
      <c r="H14" s="61" t="s">
        <v>89</v>
      </c>
    </row>
    <row r="15" spans="1:10" ht="14.25" x14ac:dyDescent="0.2">
      <c r="G15" s="64"/>
      <c r="H15" s="65">
        <f>H13+J12</f>
        <v>44953</v>
      </c>
    </row>
    <row r="16" spans="1:10" ht="14.25" x14ac:dyDescent="0.2">
      <c r="B16" s="62"/>
      <c r="F16" s="65"/>
      <c r="G16" s="65"/>
      <c r="H16" s="65"/>
    </row>
    <row r="17" spans="2:8" ht="14.25" x14ac:dyDescent="0.2">
      <c r="F17" s="65"/>
      <c r="G17" s="65"/>
      <c r="H17" s="66"/>
    </row>
    <row r="18" spans="2:8" ht="22.5" customHeight="1" x14ac:dyDescent="0.2">
      <c r="B18" s="279" t="s">
        <v>90</v>
      </c>
      <c r="C18" s="280"/>
      <c r="D18" s="280"/>
      <c r="E18" s="280"/>
      <c r="F18" s="65"/>
      <c r="G18" s="65"/>
      <c r="H18" s="66"/>
    </row>
    <row r="19" spans="2:8" ht="15" x14ac:dyDescent="0.2">
      <c r="B19" s="279" t="s">
        <v>35</v>
      </c>
      <c r="C19" s="280"/>
      <c r="D19" s="280"/>
      <c r="E19" s="280"/>
      <c r="F19" s="65"/>
      <c r="G19" s="65"/>
      <c r="H19" s="66"/>
    </row>
    <row r="20" spans="2:8" ht="14.25" x14ac:dyDescent="0.2">
      <c r="B20" s="282" t="s">
        <v>91</v>
      </c>
      <c r="C20" s="280"/>
      <c r="D20" s="280"/>
      <c r="E20" s="280"/>
      <c r="F20" s="65"/>
      <c r="G20" s="65"/>
      <c r="H20" s="66"/>
    </row>
    <row r="21" spans="2:8" ht="14.25" x14ac:dyDescent="0.2">
      <c r="B21" s="62"/>
      <c r="C21" s="67"/>
      <c r="D21" s="67"/>
      <c r="E21" s="67"/>
      <c r="F21" s="65"/>
      <c r="G21" s="65"/>
      <c r="H21" s="66"/>
    </row>
    <row r="22" spans="2:8" ht="14.25" x14ac:dyDescent="0.2">
      <c r="B22" s="62"/>
      <c r="C22" s="67"/>
      <c r="D22" s="67"/>
      <c r="E22" s="67"/>
      <c r="F22" s="65"/>
      <c r="G22" s="65"/>
      <c r="H22" s="66"/>
    </row>
    <row r="23" spans="2:8" ht="22.5" customHeight="1" x14ac:dyDescent="0.2">
      <c r="B23" s="282"/>
      <c r="C23" s="280"/>
      <c r="D23" s="280"/>
      <c r="E23" s="280"/>
      <c r="F23" s="67"/>
      <c r="G23" s="67"/>
      <c r="H23" s="67"/>
    </row>
    <row r="24" spans="2:8" ht="27.75" customHeight="1" x14ac:dyDescent="0.2">
      <c r="B24" s="280"/>
      <c r="C24" s="280"/>
      <c r="D24" s="280"/>
      <c r="E24" s="280"/>
      <c r="F24" s="280"/>
      <c r="G24" s="280"/>
      <c r="H24" s="280"/>
    </row>
    <row r="25" spans="2:8" ht="27.75" customHeight="1" x14ac:dyDescent="0.2">
      <c r="B25" s="67"/>
      <c r="C25" s="67"/>
      <c r="D25" s="67"/>
      <c r="E25" s="67"/>
      <c r="F25" s="67"/>
      <c r="G25" s="67"/>
      <c r="H25" s="67"/>
    </row>
    <row r="26" spans="2:8" ht="15.75" customHeight="1" x14ac:dyDescent="0.2">
      <c r="B26" s="67"/>
      <c r="C26" s="67"/>
      <c r="D26" s="67"/>
      <c r="E26" s="67"/>
      <c r="F26" s="67"/>
      <c r="G26" s="67"/>
      <c r="H26" s="67"/>
    </row>
    <row r="27" spans="2:8" ht="15" x14ac:dyDescent="0.25">
      <c r="B27" s="68" t="s">
        <v>88</v>
      </c>
      <c r="C27" s="272" t="s">
        <v>92</v>
      </c>
      <c r="D27" s="272"/>
      <c r="E27" s="69" t="s">
        <v>93</v>
      </c>
      <c r="F27" s="69" t="s">
        <v>94</v>
      </c>
      <c r="G27" s="70" t="s">
        <v>18</v>
      </c>
      <c r="H27" s="69" t="s">
        <v>95</v>
      </c>
    </row>
    <row r="28" spans="2:8" ht="25.5" customHeight="1" x14ac:dyDescent="0.2">
      <c r="B28" s="71">
        <v>44945</v>
      </c>
      <c r="C28" s="290" t="s">
        <v>96</v>
      </c>
      <c r="D28" s="280"/>
      <c r="E28" s="73">
        <v>40</v>
      </c>
      <c r="F28" s="74">
        <v>2</v>
      </c>
      <c r="G28" s="75">
        <v>0.1</v>
      </c>
      <c r="H28" s="73">
        <f>E28*F28</f>
        <v>80</v>
      </c>
    </row>
    <row r="29" spans="2:8" ht="30" customHeight="1" x14ac:dyDescent="0.2">
      <c r="B29" s="76"/>
      <c r="C29" s="286"/>
      <c r="D29" s="287"/>
      <c r="E29" s="77"/>
      <c r="F29" s="78"/>
      <c r="G29" s="78"/>
      <c r="H29" s="77"/>
    </row>
    <row r="30" spans="2:8" ht="30" customHeight="1" x14ac:dyDescent="0.2">
      <c r="B30" s="72"/>
      <c r="C30" s="290"/>
      <c r="D30" s="280"/>
      <c r="E30" s="63"/>
      <c r="F30" s="79" t="s">
        <v>97</v>
      </c>
      <c r="G30" s="79"/>
      <c r="H30" s="80">
        <f>SUM(H28:H29)</f>
        <v>80</v>
      </c>
    </row>
    <row r="31" spans="2:8" ht="30" customHeight="1" x14ac:dyDescent="0.2">
      <c r="B31" s="72"/>
      <c r="C31" s="72"/>
      <c r="D31" s="67"/>
      <c r="E31" s="63"/>
      <c r="F31" s="79" t="s">
        <v>98</v>
      </c>
      <c r="G31" s="79"/>
      <c r="H31" s="80">
        <f>H30*0.1</f>
        <v>8</v>
      </c>
    </row>
    <row r="32" spans="2:8" ht="30" customHeight="1" x14ac:dyDescent="0.2">
      <c r="B32" s="72"/>
      <c r="C32" s="290"/>
      <c r="D32" s="280"/>
      <c r="E32" s="63"/>
      <c r="F32" s="81" t="s">
        <v>99</v>
      </c>
      <c r="G32" s="81"/>
      <c r="H32" s="82">
        <v>0</v>
      </c>
    </row>
    <row r="33" spans="1:9" ht="30" customHeight="1" x14ac:dyDescent="0.25">
      <c r="B33" s="83"/>
      <c r="C33" s="291"/>
      <c r="D33" s="278"/>
      <c r="E33" s="84"/>
      <c r="F33" s="85" t="s">
        <v>100</v>
      </c>
      <c r="G33" s="85"/>
      <c r="H33" s="86">
        <f>SUM(H30:H32)</f>
        <v>88</v>
      </c>
    </row>
    <row r="34" spans="1:9" ht="30" customHeight="1" x14ac:dyDescent="0.25">
      <c r="B34" s="83"/>
      <c r="C34" s="83"/>
      <c r="E34" s="84"/>
      <c r="F34" s="85"/>
      <c r="G34" s="85"/>
      <c r="H34" s="87"/>
    </row>
    <row r="35" spans="1:9" ht="30" customHeight="1" x14ac:dyDescent="0.25">
      <c r="B35" s="83"/>
      <c r="C35" s="83"/>
      <c r="E35" s="84"/>
      <c r="F35" s="85"/>
      <c r="G35" s="85"/>
      <c r="H35" s="86"/>
    </row>
    <row r="36" spans="1:9" ht="30" customHeight="1" x14ac:dyDescent="0.25">
      <c r="B36" s="83"/>
      <c r="C36" s="83"/>
      <c r="E36" s="84"/>
      <c r="F36" s="85"/>
      <c r="G36" s="85"/>
      <c r="H36" s="86"/>
    </row>
    <row r="37" spans="1:9" ht="30" customHeight="1" x14ac:dyDescent="0.25">
      <c r="B37" s="83"/>
      <c r="C37" s="83"/>
      <c r="E37" s="84"/>
      <c r="F37" s="85"/>
      <c r="G37" s="85"/>
      <c r="H37" s="86"/>
    </row>
    <row r="38" spans="1:9" ht="30" customHeight="1" x14ac:dyDescent="0.25">
      <c r="B38" s="83"/>
      <c r="C38" s="83"/>
      <c r="E38" s="84"/>
      <c r="F38" s="85"/>
      <c r="G38" s="85"/>
      <c r="H38" s="86"/>
    </row>
    <row r="39" spans="1:9" ht="30" customHeight="1" x14ac:dyDescent="0.25">
      <c r="B39" s="83"/>
      <c r="C39" s="83"/>
      <c r="E39" s="84"/>
      <c r="F39" s="85"/>
      <c r="G39" s="85"/>
      <c r="H39" s="86"/>
    </row>
    <row r="40" spans="1:9" ht="30" customHeight="1" x14ac:dyDescent="0.25">
      <c r="B40" s="83"/>
      <c r="C40" s="83"/>
      <c r="E40" s="84"/>
      <c r="F40" s="85"/>
      <c r="G40" s="85"/>
      <c r="H40" s="86"/>
    </row>
    <row r="41" spans="1:9" ht="30" customHeight="1" x14ac:dyDescent="0.2">
      <c r="B41" s="83"/>
      <c r="C41" s="88"/>
      <c r="D41" s="292" t="s">
        <v>101</v>
      </c>
      <c r="E41" s="292"/>
      <c r="F41" s="292"/>
      <c r="G41" s="89"/>
      <c r="H41" s="90"/>
    </row>
    <row r="42" spans="1:9" ht="12.75" customHeight="1" x14ac:dyDescent="0.2"/>
    <row r="43" spans="1:9" ht="12.75" x14ac:dyDescent="0.2">
      <c r="A43" s="53"/>
      <c r="B43" s="91" t="s">
        <v>102</v>
      </c>
      <c r="C43" s="92"/>
      <c r="D43" s="92"/>
      <c r="E43" s="300" t="s">
        <v>103</v>
      </c>
      <c r="F43" s="300"/>
      <c r="G43" s="300"/>
      <c r="H43" s="300"/>
      <c r="I43" s="300"/>
    </row>
    <row r="44" spans="1:9" ht="14.25" customHeight="1" x14ac:dyDescent="0.2">
      <c r="A44" s="53"/>
      <c r="B44" s="94" t="s">
        <v>104</v>
      </c>
      <c r="C44" s="53"/>
      <c r="D44" s="53"/>
      <c r="E44" s="283">
        <f>H33</f>
        <v>88</v>
      </c>
      <c r="F44" s="283"/>
      <c r="G44" s="283"/>
      <c r="H44" s="283"/>
      <c r="I44" s="283"/>
    </row>
    <row r="45" spans="1:9" ht="15.75" customHeight="1" x14ac:dyDescent="0.2">
      <c r="A45" s="53"/>
      <c r="B45" s="94" t="s">
        <v>105</v>
      </c>
      <c r="C45" s="53"/>
      <c r="D45" s="53"/>
      <c r="E45" s="283"/>
      <c r="F45" s="283"/>
      <c r="G45" s="283"/>
      <c r="H45" s="283"/>
      <c r="I45" s="283"/>
    </row>
    <row r="46" spans="1:9" ht="14.25" x14ac:dyDescent="0.2">
      <c r="A46" s="53"/>
      <c r="B46" s="94" t="s">
        <v>106</v>
      </c>
      <c r="C46" s="53"/>
      <c r="D46" s="53"/>
      <c r="E46" s="95"/>
      <c r="F46" s="95"/>
      <c r="G46" s="95"/>
      <c r="H46" s="95"/>
      <c r="I46" s="95"/>
    </row>
    <row r="47" spans="1:9" ht="14.25" x14ac:dyDescent="0.2">
      <c r="A47" s="53"/>
      <c r="B47" s="94" t="s">
        <v>107</v>
      </c>
      <c r="C47" s="96"/>
      <c r="D47" s="96"/>
      <c r="E47" s="97"/>
      <c r="F47" s="97"/>
      <c r="G47" s="97"/>
      <c r="H47" s="97"/>
      <c r="I47" s="95"/>
    </row>
    <row r="48" spans="1:9" ht="53.25" customHeight="1" x14ac:dyDescent="0.2">
      <c r="B48" s="284"/>
      <c r="C48" s="278"/>
      <c r="D48" s="278"/>
      <c r="E48" s="278"/>
      <c r="F48" s="278"/>
      <c r="G48" s="278"/>
      <c r="H48" s="278"/>
    </row>
    <row r="52" spans="6:7" ht="15.75" customHeight="1" x14ac:dyDescent="0.2">
      <c r="F52" s="62"/>
      <c r="G52" s="62"/>
    </row>
    <row r="53" spans="6:7" ht="15.75" customHeight="1" x14ac:dyDescent="0.2">
      <c r="F53" s="62"/>
      <c r="G53" s="62"/>
    </row>
    <row r="54" spans="6:7" ht="15.75" customHeight="1" x14ac:dyDescent="0.2">
      <c r="F54" s="62"/>
      <c r="G54" s="62"/>
    </row>
    <row r="57" spans="6:7" ht="15.75" customHeight="1" x14ac:dyDescent="0.2">
      <c r="F57" s="62"/>
      <c r="G57" s="62"/>
    </row>
    <row r="59" spans="6:7" ht="15.75" customHeight="1" x14ac:dyDescent="0.2">
      <c r="F59" s="62"/>
      <c r="G59" s="62"/>
    </row>
  </sheetData>
  <mergeCells count="21">
    <mergeCell ref="E43:I43"/>
    <mergeCell ref="E44:I45"/>
    <mergeCell ref="B48:H48"/>
    <mergeCell ref="C28:D28"/>
    <mergeCell ref="C29:D29"/>
    <mergeCell ref="C30:D30"/>
    <mergeCell ref="C32:D32"/>
    <mergeCell ref="C33:D33"/>
    <mergeCell ref="D41:F41"/>
    <mergeCell ref="C27:D27"/>
    <mergeCell ref="E3:H3"/>
    <mergeCell ref="B4:D6"/>
    <mergeCell ref="E4:H4"/>
    <mergeCell ref="E5:H5"/>
    <mergeCell ref="E6:H6"/>
    <mergeCell ref="B9:H9"/>
    <mergeCell ref="B18:E18"/>
    <mergeCell ref="B19:E19"/>
    <mergeCell ref="B20:E20"/>
    <mergeCell ref="B23:E23"/>
    <mergeCell ref="B24:H24"/>
  </mergeCells>
  <conditionalFormatting sqref="B26">
    <cfRule type="notContainsBlanks" dxfId="8" priority="1">
      <formula>LEN(TRIM(B26))&gt;0</formula>
    </cfRule>
  </conditionalFormatting>
  <hyperlinks>
    <hyperlink ref="B12" r:id="rId1" xr:uid="{ABDCD5B7-DC77-4B81-9C8C-AEEFF14CC96C}"/>
  </hyperlinks>
  <printOptions horizontalCentered="1" verticalCentered="1"/>
  <pageMargins left="0.08" right="3.937007874015748E-2" top="0.35433070866141736" bottom="0.27559055118110237" header="0.31496062992125984" footer="0.31496062992125984"/>
  <pageSetup paperSize="9" scale="81" orientation="portrait" r:id="rId2"/>
  <drawing r:id="rId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F97CE1-A207-4DB7-AFBE-FAD1B1575D62}">
  <sheetPr codeName="Sheet55">
    <tabColor theme="9" tint="-0.499984740745262"/>
    <outlinePr summaryBelow="0" summaryRight="0"/>
    <pageSetUpPr fitToPage="1"/>
  </sheetPr>
  <dimension ref="A1:J58"/>
  <sheetViews>
    <sheetView showGridLines="0" topLeftCell="A6" zoomScale="130" zoomScaleNormal="130" workbookViewId="0">
      <selection activeCell="H11" sqref="H11"/>
    </sheetView>
  </sheetViews>
  <sheetFormatPr defaultColWidth="14.42578125" defaultRowHeight="15.75" customHeight="1" x14ac:dyDescent="0.2"/>
  <cols>
    <col min="1" max="1" width="2.85546875" style="55" customWidth="1"/>
    <col min="2" max="3" width="14.42578125" style="55"/>
    <col min="4" max="4" width="18.140625" style="55" customWidth="1"/>
    <col min="5" max="5" width="18.140625" style="55" bestFit="1" customWidth="1"/>
    <col min="6" max="6" width="15.140625" style="55" customWidth="1"/>
    <col min="7" max="7" width="9.7109375" style="55" customWidth="1"/>
    <col min="8" max="8" width="13.7109375" style="55" bestFit="1" customWidth="1"/>
    <col min="9" max="9" width="3.28515625" style="55" customWidth="1"/>
    <col min="10" max="16384" width="14.42578125" style="55"/>
  </cols>
  <sheetData>
    <row r="1" spans="1:10" ht="39" customHeight="1" x14ac:dyDescent="0.2">
      <c r="A1" s="54"/>
      <c r="B1" s="54"/>
      <c r="C1" s="54"/>
      <c r="D1" s="54"/>
      <c r="E1" s="54"/>
      <c r="F1" s="54"/>
      <c r="G1" s="54"/>
      <c r="H1" s="54"/>
      <c r="I1" s="54"/>
    </row>
    <row r="2" spans="1:10" x14ac:dyDescent="0.25">
      <c r="A2" s="54"/>
      <c r="B2" s="56"/>
      <c r="C2" s="56"/>
      <c r="D2" s="56"/>
      <c r="E2" s="57"/>
      <c r="F2" s="57"/>
      <c r="G2" s="57"/>
      <c r="H2" s="57"/>
      <c r="I2" s="56"/>
    </row>
    <row r="3" spans="1:10" ht="12.75" x14ac:dyDescent="0.2">
      <c r="A3" s="54"/>
      <c r="B3" s="56"/>
      <c r="C3" s="56"/>
      <c r="D3" s="56"/>
      <c r="E3" s="273"/>
      <c r="F3" s="274"/>
      <c r="G3" s="274"/>
      <c r="H3" s="274"/>
      <c r="I3" s="56"/>
    </row>
    <row r="4" spans="1:10" ht="12.75" x14ac:dyDescent="0.2">
      <c r="A4" s="54"/>
      <c r="B4" s="275" t="s">
        <v>83</v>
      </c>
      <c r="C4" s="276"/>
      <c r="D4" s="276"/>
      <c r="E4" s="277"/>
      <c r="F4" s="274"/>
      <c r="G4" s="274"/>
      <c r="H4" s="274"/>
      <c r="I4" s="56"/>
    </row>
    <row r="5" spans="1:10" ht="12.75" x14ac:dyDescent="0.2">
      <c r="A5" s="54"/>
      <c r="B5" s="276"/>
      <c r="C5" s="276"/>
      <c r="D5" s="276"/>
      <c r="E5" s="277"/>
      <c r="F5" s="274"/>
      <c r="G5" s="274"/>
      <c r="H5" s="274"/>
      <c r="I5" s="56"/>
    </row>
    <row r="6" spans="1:10" ht="12.75" x14ac:dyDescent="0.2">
      <c r="A6" s="54"/>
      <c r="B6" s="276"/>
      <c r="C6" s="276"/>
      <c r="D6" s="276"/>
      <c r="E6" s="277"/>
      <c r="F6" s="274"/>
      <c r="G6" s="274"/>
      <c r="H6" s="274"/>
      <c r="I6" s="56"/>
    </row>
    <row r="7" spans="1:10" ht="36.75" customHeight="1" x14ac:dyDescent="0.2">
      <c r="A7" s="54"/>
      <c r="B7" s="54"/>
      <c r="C7" s="54"/>
      <c r="D7" s="54"/>
      <c r="E7" s="54"/>
      <c r="F7" s="54"/>
      <c r="G7" s="54"/>
      <c r="H7" s="54"/>
      <c r="I7" s="54"/>
    </row>
    <row r="8" spans="1:10" ht="21.75" customHeight="1" x14ac:dyDescent="0.2">
      <c r="A8" s="58"/>
      <c r="B8" s="58"/>
      <c r="C8" s="58"/>
      <c r="D8" s="58"/>
      <c r="E8" s="58"/>
      <c r="F8" s="58"/>
      <c r="G8" s="58"/>
      <c r="H8" s="58"/>
      <c r="I8" s="58"/>
      <c r="J8" s="59"/>
    </row>
    <row r="9" spans="1:10" ht="15.75" customHeight="1" x14ac:dyDescent="0.2">
      <c r="B9" s="278"/>
      <c r="C9" s="278"/>
      <c r="D9" s="278"/>
      <c r="E9" s="278"/>
      <c r="F9" s="278"/>
      <c r="G9" s="278"/>
      <c r="H9" s="278"/>
    </row>
    <row r="10" spans="1:10" ht="15" customHeight="1" x14ac:dyDescent="0.2">
      <c r="A10" s="98"/>
      <c r="B10" s="60" t="s">
        <v>84</v>
      </c>
      <c r="G10" s="60"/>
      <c r="H10" s="61" t="s">
        <v>85</v>
      </c>
    </row>
    <row r="11" spans="1:10" ht="14.25" x14ac:dyDescent="0.2">
      <c r="A11" s="98"/>
      <c r="B11" s="62" t="s">
        <v>86</v>
      </c>
      <c r="G11" s="62"/>
      <c r="H11" s="63" t="str">
        <f>"AN"&amp;J11</f>
        <v>AN35</v>
      </c>
      <c r="J11" s="55">
        <v>35</v>
      </c>
    </row>
    <row r="12" spans="1:10" ht="15" x14ac:dyDescent="0.2">
      <c r="A12" s="98"/>
      <c r="B12" s="62" t="s">
        <v>87</v>
      </c>
      <c r="G12" s="60"/>
      <c r="H12" s="61" t="s">
        <v>88</v>
      </c>
      <c r="J12" s="55">
        <v>7</v>
      </c>
    </row>
    <row r="13" spans="1:10" ht="14.25" x14ac:dyDescent="0.2">
      <c r="A13" s="98"/>
      <c r="B13" s="62"/>
      <c r="G13" s="64"/>
      <c r="H13" s="65">
        <v>44950</v>
      </c>
    </row>
    <row r="14" spans="1:10" ht="15" x14ac:dyDescent="0.2">
      <c r="A14" s="98"/>
      <c r="G14" s="60"/>
      <c r="H14" s="61" t="s">
        <v>89</v>
      </c>
    </row>
    <row r="15" spans="1:10" ht="14.25" x14ac:dyDescent="0.2">
      <c r="A15" s="98"/>
      <c r="G15" s="64"/>
      <c r="H15" s="65">
        <f>H13+J12</f>
        <v>44957</v>
      </c>
    </row>
    <row r="16" spans="1:10" ht="14.25" x14ac:dyDescent="0.2">
      <c r="A16" s="98"/>
      <c r="B16" s="62"/>
      <c r="G16" s="65"/>
      <c r="H16" s="65"/>
    </row>
    <row r="17" spans="1:8" ht="14.25" x14ac:dyDescent="0.2">
      <c r="A17" s="98"/>
      <c r="F17" s="65"/>
      <c r="G17" s="65"/>
      <c r="H17" s="66"/>
    </row>
    <row r="18" spans="1:8" ht="22.5" customHeight="1" x14ac:dyDescent="0.2">
      <c r="A18" s="98"/>
      <c r="B18" s="279" t="s">
        <v>90</v>
      </c>
      <c r="C18" s="280"/>
      <c r="D18" s="280"/>
      <c r="E18" s="280"/>
      <c r="F18" s="65"/>
      <c r="G18" s="65"/>
      <c r="H18" s="66"/>
    </row>
    <row r="19" spans="1:8" ht="15" x14ac:dyDescent="0.2">
      <c r="A19" s="98"/>
      <c r="B19" s="295" t="s">
        <v>108</v>
      </c>
      <c r="C19" s="296"/>
      <c r="D19" s="296"/>
      <c r="E19" s="296"/>
      <c r="F19" s="65"/>
      <c r="G19" s="65"/>
      <c r="H19" s="66"/>
    </row>
    <row r="20" spans="1:8" ht="14.25" x14ac:dyDescent="0.2">
      <c r="A20" s="98"/>
      <c r="B20" s="297" t="s">
        <v>109</v>
      </c>
      <c r="C20" s="296"/>
      <c r="D20" s="296"/>
      <c r="E20" s="296"/>
      <c r="F20" s="65"/>
      <c r="G20" s="65"/>
      <c r="H20" s="66"/>
    </row>
    <row r="21" spans="1:8" ht="14.25" x14ac:dyDescent="0.2">
      <c r="A21" s="98"/>
      <c r="B21" s="62"/>
      <c r="C21" s="67"/>
      <c r="D21" s="67"/>
      <c r="E21" s="67"/>
      <c r="F21" s="65"/>
      <c r="G21" s="65"/>
      <c r="H21" s="66"/>
    </row>
    <row r="22" spans="1:8" ht="14.25" x14ac:dyDescent="0.2">
      <c r="A22" s="98"/>
      <c r="B22" s="62"/>
      <c r="C22" s="67"/>
      <c r="D22" s="67"/>
      <c r="E22" s="67"/>
      <c r="F22" s="65"/>
      <c r="G22" s="65"/>
      <c r="H22" s="66"/>
    </row>
    <row r="23" spans="1:8" ht="14.25" x14ac:dyDescent="0.2">
      <c r="A23" s="98"/>
      <c r="B23" s="62"/>
      <c r="C23" s="67"/>
      <c r="D23" s="67"/>
      <c r="E23" s="67"/>
      <c r="F23" s="65"/>
      <c r="G23" s="65"/>
      <c r="H23" s="66"/>
    </row>
    <row r="24" spans="1:8" ht="22.5" customHeight="1" x14ac:dyDescent="0.2">
      <c r="A24" s="98"/>
      <c r="B24" s="282"/>
      <c r="C24" s="280"/>
      <c r="D24" s="280"/>
      <c r="E24" s="280"/>
      <c r="F24" s="67"/>
      <c r="G24" s="67"/>
      <c r="H24" s="67"/>
    </row>
    <row r="25" spans="1:8" ht="27.75" customHeight="1" x14ac:dyDescent="0.2">
      <c r="B25" s="280"/>
      <c r="C25" s="280"/>
      <c r="D25" s="280"/>
      <c r="E25" s="280"/>
      <c r="F25" s="280"/>
      <c r="G25" s="280"/>
      <c r="H25" s="280"/>
    </row>
    <row r="26" spans="1:8" ht="15.75" customHeight="1" x14ac:dyDescent="0.2">
      <c r="B26" s="67"/>
      <c r="C26" s="67"/>
      <c r="D26" s="67"/>
      <c r="E26" s="67"/>
      <c r="F26" s="67"/>
      <c r="G26" s="67"/>
      <c r="H26" s="67"/>
    </row>
    <row r="27" spans="1:8" ht="15" x14ac:dyDescent="0.25">
      <c r="B27" s="68" t="s">
        <v>88</v>
      </c>
      <c r="C27" s="272" t="s">
        <v>92</v>
      </c>
      <c r="D27" s="272"/>
      <c r="E27" s="70" t="s">
        <v>110</v>
      </c>
      <c r="F27" s="70" t="s">
        <v>111</v>
      </c>
      <c r="G27" s="70" t="s">
        <v>18</v>
      </c>
      <c r="H27" s="70" t="s">
        <v>95</v>
      </c>
    </row>
    <row r="28" spans="1:8" ht="24.95" customHeight="1" x14ac:dyDescent="0.2">
      <c r="B28" s="71">
        <v>44949</v>
      </c>
      <c r="C28" s="293" t="s">
        <v>112</v>
      </c>
      <c r="D28" s="293"/>
      <c r="E28" s="99">
        <v>38</v>
      </c>
      <c r="F28" s="100">
        <v>2.5</v>
      </c>
      <c r="G28" s="101">
        <v>0.1</v>
      </c>
      <c r="H28" s="99">
        <f>E28*F28</f>
        <v>95</v>
      </c>
    </row>
    <row r="29" spans="1:8" ht="14.25" x14ac:dyDescent="0.2">
      <c r="B29" s="102"/>
      <c r="C29" s="286"/>
      <c r="D29" s="287"/>
      <c r="E29" s="77"/>
      <c r="F29" s="103"/>
      <c r="G29" s="103"/>
      <c r="H29" s="77"/>
    </row>
    <row r="30" spans="1:8" ht="30" customHeight="1" x14ac:dyDescent="0.2">
      <c r="B30" s="72"/>
      <c r="C30" s="290"/>
      <c r="D30" s="280"/>
      <c r="E30" s="63"/>
      <c r="F30" s="79"/>
      <c r="G30" s="79" t="s">
        <v>97</v>
      </c>
      <c r="H30" s="80">
        <f>SUM(H28:H29)</f>
        <v>95</v>
      </c>
    </row>
    <row r="31" spans="1:8" ht="30" customHeight="1" x14ac:dyDescent="0.2">
      <c r="B31" s="72"/>
      <c r="C31" s="72"/>
      <c r="D31" s="67"/>
      <c r="E31" s="63"/>
      <c r="F31" s="79"/>
      <c r="G31" s="79" t="s">
        <v>113</v>
      </c>
      <c r="H31" s="80">
        <f>G28*H30</f>
        <v>9.5</v>
      </c>
    </row>
    <row r="32" spans="1:8" ht="30" customHeight="1" x14ac:dyDescent="0.2">
      <c r="B32" s="72"/>
      <c r="C32" s="290"/>
      <c r="D32" s="280"/>
      <c r="E32" s="63"/>
      <c r="F32" s="81"/>
      <c r="G32" s="81" t="s">
        <v>99</v>
      </c>
      <c r="H32" s="82">
        <v>0</v>
      </c>
    </row>
    <row r="33" spans="1:9" ht="30" customHeight="1" x14ac:dyDescent="0.25">
      <c r="B33" s="83"/>
      <c r="C33" s="291"/>
      <c r="D33" s="278"/>
      <c r="E33" s="84"/>
      <c r="F33" s="85"/>
      <c r="G33" s="85" t="s">
        <v>100</v>
      </c>
      <c r="H33" s="86">
        <f>SUM(H30:H32)</f>
        <v>104.5</v>
      </c>
    </row>
    <row r="34" spans="1:9" ht="30" customHeight="1" x14ac:dyDescent="0.25">
      <c r="B34" s="83"/>
      <c r="C34" s="83"/>
      <c r="E34" s="84"/>
      <c r="F34" s="85"/>
      <c r="G34" s="85"/>
      <c r="H34" s="87"/>
    </row>
    <row r="35" spans="1:9" ht="30" customHeight="1" x14ac:dyDescent="0.25">
      <c r="B35" s="83"/>
      <c r="C35" s="83"/>
      <c r="E35" s="84"/>
      <c r="F35" s="85"/>
      <c r="G35" s="85"/>
      <c r="H35" s="86"/>
    </row>
    <row r="36" spans="1:9" ht="30" customHeight="1" x14ac:dyDescent="0.25">
      <c r="B36" s="83"/>
      <c r="C36" s="83"/>
      <c r="E36" s="84"/>
      <c r="F36" s="85"/>
      <c r="G36" s="85"/>
      <c r="H36" s="86"/>
    </row>
    <row r="37" spans="1:9" ht="30" customHeight="1" x14ac:dyDescent="0.25">
      <c r="B37" s="83"/>
      <c r="C37" s="83"/>
      <c r="E37" s="84"/>
      <c r="F37" s="85"/>
      <c r="G37" s="85"/>
      <c r="H37" s="86"/>
    </row>
    <row r="38" spans="1:9" ht="30" customHeight="1" x14ac:dyDescent="0.25">
      <c r="B38" s="83"/>
      <c r="C38" s="83"/>
      <c r="E38" s="84"/>
      <c r="F38" s="85"/>
      <c r="G38" s="85"/>
      <c r="H38" s="86"/>
    </row>
    <row r="39" spans="1:9" ht="30" customHeight="1" x14ac:dyDescent="0.25">
      <c r="B39" s="83"/>
      <c r="C39" s="83"/>
      <c r="E39" s="84"/>
      <c r="F39" s="85"/>
      <c r="G39" s="85"/>
      <c r="H39" s="86"/>
    </row>
    <row r="40" spans="1:9" ht="30" customHeight="1" x14ac:dyDescent="0.2">
      <c r="B40" s="83"/>
      <c r="C40" s="88"/>
      <c r="D40" s="292" t="s">
        <v>101</v>
      </c>
      <c r="E40" s="292"/>
      <c r="F40" s="292"/>
      <c r="G40" s="89"/>
      <c r="H40" s="90"/>
    </row>
    <row r="41" spans="1:9" ht="12.75" customHeight="1" x14ac:dyDescent="0.2"/>
    <row r="42" spans="1:9" ht="12.75" x14ac:dyDescent="0.2">
      <c r="A42" s="92"/>
      <c r="B42" s="91" t="s">
        <v>102</v>
      </c>
      <c r="C42" s="92"/>
      <c r="D42" s="92"/>
      <c r="E42" s="104"/>
      <c r="F42" s="95"/>
      <c r="G42" s="95"/>
      <c r="H42" s="105" t="s">
        <v>103</v>
      </c>
      <c r="I42" s="106"/>
    </row>
    <row r="43" spans="1:9" ht="14.25" customHeight="1" x14ac:dyDescent="0.2">
      <c r="A43" s="92"/>
      <c r="B43" s="94" t="s">
        <v>104</v>
      </c>
      <c r="C43" s="53"/>
      <c r="D43" s="53"/>
      <c r="E43" s="104"/>
      <c r="F43" s="104"/>
      <c r="G43" s="283">
        <f>H33</f>
        <v>104.5</v>
      </c>
      <c r="H43" s="283"/>
      <c r="I43" s="298"/>
    </row>
    <row r="44" spans="1:9" ht="14.25" x14ac:dyDescent="0.2">
      <c r="A44" s="53"/>
      <c r="B44" s="94" t="s">
        <v>106</v>
      </c>
      <c r="C44" s="53"/>
      <c r="D44" s="53"/>
      <c r="E44" s="104"/>
      <c r="F44" s="104"/>
      <c r="G44" s="283"/>
      <c r="H44" s="283"/>
      <c r="I44" s="298"/>
    </row>
    <row r="45" spans="1:9" ht="14.25" x14ac:dyDescent="0.2">
      <c r="A45" s="53"/>
      <c r="B45" s="94" t="s">
        <v>107</v>
      </c>
      <c r="C45" s="53"/>
      <c r="D45" s="53"/>
      <c r="E45" s="95"/>
      <c r="F45" s="95"/>
      <c r="G45" s="95"/>
      <c r="H45" s="95"/>
      <c r="I45" s="95"/>
    </row>
    <row r="46" spans="1:9" ht="14.25" x14ac:dyDescent="0.2">
      <c r="A46" s="53"/>
      <c r="B46" s="94" t="s">
        <v>114</v>
      </c>
      <c r="C46" s="96"/>
      <c r="D46" s="96"/>
      <c r="E46" s="97"/>
      <c r="F46" s="97"/>
      <c r="G46" s="97"/>
      <c r="H46" s="97"/>
      <c r="I46" s="95"/>
    </row>
    <row r="47" spans="1:9" ht="53.25" customHeight="1" x14ac:dyDescent="0.2">
      <c r="B47" s="284"/>
      <c r="C47" s="278"/>
      <c r="D47" s="278"/>
      <c r="E47" s="278"/>
      <c r="F47" s="278"/>
      <c r="G47" s="278"/>
      <c r="H47" s="278"/>
    </row>
    <row r="51" spans="6:7" ht="15.75" customHeight="1" x14ac:dyDescent="0.2">
      <c r="F51" s="62"/>
      <c r="G51" s="62"/>
    </row>
    <row r="52" spans="6:7" ht="15.75" customHeight="1" x14ac:dyDescent="0.2">
      <c r="F52" s="62"/>
      <c r="G52" s="62"/>
    </row>
    <row r="53" spans="6:7" ht="15.75" customHeight="1" x14ac:dyDescent="0.2">
      <c r="F53" s="62"/>
      <c r="G53" s="62"/>
    </row>
    <row r="56" spans="6:7" ht="15.75" customHeight="1" x14ac:dyDescent="0.2">
      <c r="F56" s="62"/>
      <c r="G56" s="62"/>
    </row>
    <row r="58" spans="6:7" ht="15.75" customHeight="1" x14ac:dyDescent="0.2">
      <c r="F58" s="62"/>
      <c r="G58" s="62"/>
    </row>
  </sheetData>
  <mergeCells count="21">
    <mergeCell ref="G43:H44"/>
    <mergeCell ref="I43:I44"/>
    <mergeCell ref="B47:H47"/>
    <mergeCell ref="C28:D28"/>
    <mergeCell ref="C29:D29"/>
    <mergeCell ref="C30:D30"/>
    <mergeCell ref="C32:D32"/>
    <mergeCell ref="C33:D33"/>
    <mergeCell ref="D40:F40"/>
    <mergeCell ref="C27:D27"/>
    <mergeCell ref="E3:H3"/>
    <mergeCell ref="B4:D6"/>
    <mergeCell ref="E4:H4"/>
    <mergeCell ref="E5:H5"/>
    <mergeCell ref="E6:H6"/>
    <mergeCell ref="B9:H9"/>
    <mergeCell ref="B18:E18"/>
    <mergeCell ref="B19:E19"/>
    <mergeCell ref="B20:E20"/>
    <mergeCell ref="B24:E24"/>
    <mergeCell ref="B25:H25"/>
  </mergeCells>
  <conditionalFormatting sqref="B26">
    <cfRule type="notContainsBlanks" dxfId="7" priority="1">
      <formula>LEN(TRIM(B26))&gt;0</formula>
    </cfRule>
  </conditionalFormatting>
  <hyperlinks>
    <hyperlink ref="B12" r:id="rId1" xr:uid="{2FB0FA13-5157-4239-879A-9A896A88C77A}"/>
  </hyperlinks>
  <printOptions horizontalCentered="1" verticalCentered="1"/>
  <pageMargins left="0.13" right="7.0000000000000007E-2" top="0.19685039370078741" bottom="0.19685039370078741" header="0.31496062992125984" footer="0.31496062992125984"/>
  <pageSetup paperSize="9" scale="90" orientation="portrait" r:id="rId2"/>
  <drawing r:id="rId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31984D-0336-47A8-AFA1-73B982D3D16A}">
  <sheetPr codeName="Sheet56">
    <tabColor theme="9" tint="-0.499984740745262"/>
    <outlinePr summaryBelow="0" summaryRight="0"/>
    <pageSetUpPr fitToPage="1"/>
  </sheetPr>
  <dimension ref="A1:J58"/>
  <sheetViews>
    <sheetView showGridLines="0" topLeftCell="A2" zoomScale="130" zoomScaleNormal="130" workbookViewId="0">
      <selection activeCell="H11" sqref="H11"/>
    </sheetView>
  </sheetViews>
  <sheetFormatPr defaultColWidth="14.42578125" defaultRowHeight="15.75" customHeight="1" x14ac:dyDescent="0.2"/>
  <cols>
    <col min="1" max="1" width="2.85546875" style="55" customWidth="1"/>
    <col min="2" max="3" width="14.42578125" style="55"/>
    <col min="4" max="4" width="18.140625" style="55" customWidth="1"/>
    <col min="5" max="5" width="18.140625" style="55" bestFit="1" customWidth="1"/>
    <col min="6" max="6" width="15.140625" style="55" customWidth="1"/>
    <col min="7" max="7" width="9.7109375" style="55" customWidth="1"/>
    <col min="8" max="8" width="13.7109375" style="55" bestFit="1" customWidth="1"/>
    <col min="9" max="9" width="3.28515625" style="55" customWidth="1"/>
    <col min="10" max="16384" width="14.42578125" style="55"/>
  </cols>
  <sheetData>
    <row r="1" spans="1:10" ht="39" customHeight="1" x14ac:dyDescent="0.2">
      <c r="A1" s="54"/>
      <c r="B1" s="54"/>
      <c r="C1" s="54"/>
      <c r="D1" s="54"/>
      <c r="E1" s="54"/>
      <c r="F1" s="54"/>
      <c r="G1" s="54"/>
      <c r="H1" s="54"/>
      <c r="I1" s="54"/>
    </row>
    <row r="2" spans="1:10" x14ac:dyDescent="0.25">
      <c r="A2" s="54"/>
      <c r="B2" s="56"/>
      <c r="C2" s="56"/>
      <c r="D2" s="56"/>
      <c r="E2" s="57"/>
      <c r="F2" s="57"/>
      <c r="G2" s="57"/>
      <c r="H2" s="57"/>
      <c r="I2" s="56"/>
    </row>
    <row r="3" spans="1:10" ht="12.75" x14ac:dyDescent="0.2">
      <c r="A3" s="54"/>
      <c r="B3" s="56"/>
      <c r="C3" s="56"/>
      <c r="D3" s="56"/>
      <c r="E3" s="273"/>
      <c r="F3" s="274"/>
      <c r="G3" s="274"/>
      <c r="H3" s="274"/>
      <c r="I3" s="56"/>
    </row>
    <row r="4" spans="1:10" ht="12.75" x14ac:dyDescent="0.2">
      <c r="A4" s="54"/>
      <c r="B4" s="275" t="s">
        <v>83</v>
      </c>
      <c r="C4" s="276"/>
      <c r="D4" s="276"/>
      <c r="E4" s="277"/>
      <c r="F4" s="274"/>
      <c r="G4" s="274"/>
      <c r="H4" s="274"/>
      <c r="I4" s="56"/>
    </row>
    <row r="5" spans="1:10" ht="12.75" x14ac:dyDescent="0.2">
      <c r="A5" s="54"/>
      <c r="B5" s="276"/>
      <c r="C5" s="276"/>
      <c r="D5" s="276"/>
      <c r="E5" s="277"/>
      <c r="F5" s="274"/>
      <c r="G5" s="274"/>
      <c r="H5" s="274"/>
      <c r="I5" s="56"/>
    </row>
    <row r="6" spans="1:10" ht="12.75" x14ac:dyDescent="0.2">
      <c r="A6" s="54"/>
      <c r="B6" s="276"/>
      <c r="C6" s="276"/>
      <c r="D6" s="276"/>
      <c r="E6" s="277"/>
      <c r="F6" s="274"/>
      <c r="G6" s="274"/>
      <c r="H6" s="274"/>
      <c r="I6" s="56"/>
    </row>
    <row r="7" spans="1:10" ht="36.75" customHeight="1" x14ac:dyDescent="0.2">
      <c r="A7" s="54"/>
      <c r="B7" s="54"/>
      <c r="C7" s="54"/>
      <c r="D7" s="54"/>
      <c r="E7" s="54"/>
      <c r="F7" s="54"/>
      <c r="G7" s="54"/>
      <c r="H7" s="54"/>
      <c r="I7" s="54"/>
    </row>
    <row r="8" spans="1:10" ht="21.75" customHeight="1" x14ac:dyDescent="0.2">
      <c r="A8" s="58"/>
      <c r="B8" s="58"/>
      <c r="C8" s="58"/>
      <c r="D8" s="58"/>
      <c r="E8" s="58"/>
      <c r="F8" s="58"/>
      <c r="G8" s="58"/>
      <c r="H8" s="58"/>
      <c r="I8" s="58"/>
      <c r="J8" s="59"/>
    </row>
    <row r="9" spans="1:10" ht="15.75" customHeight="1" x14ac:dyDescent="0.2">
      <c r="B9" s="278"/>
      <c r="C9" s="278"/>
      <c r="D9" s="278"/>
      <c r="E9" s="278"/>
      <c r="F9" s="278"/>
      <c r="G9" s="278"/>
      <c r="H9" s="278"/>
    </row>
    <row r="10" spans="1:10" ht="15" customHeight="1" x14ac:dyDescent="0.2">
      <c r="A10" s="98"/>
      <c r="B10" s="60" t="s">
        <v>84</v>
      </c>
      <c r="G10" s="60"/>
      <c r="H10" s="61" t="s">
        <v>85</v>
      </c>
    </row>
    <row r="11" spans="1:10" ht="14.25" x14ac:dyDescent="0.2">
      <c r="A11" s="98"/>
      <c r="B11" s="62" t="s">
        <v>86</v>
      </c>
      <c r="G11" s="62"/>
      <c r="H11" s="63" t="str">
        <f>"CR"&amp;J11</f>
        <v>CR1029</v>
      </c>
      <c r="J11" s="55">
        <v>1029</v>
      </c>
    </row>
    <row r="12" spans="1:10" ht="15" x14ac:dyDescent="0.2">
      <c r="A12" s="98"/>
      <c r="B12" s="62" t="s">
        <v>87</v>
      </c>
      <c r="G12" s="60"/>
      <c r="H12" s="61" t="s">
        <v>88</v>
      </c>
      <c r="J12" s="55">
        <v>7</v>
      </c>
    </row>
    <row r="13" spans="1:10" ht="14.25" x14ac:dyDescent="0.2">
      <c r="A13" s="98"/>
      <c r="B13" s="62"/>
      <c r="F13" s="107"/>
      <c r="G13" s="64"/>
      <c r="H13" s="65">
        <v>44947</v>
      </c>
    </row>
    <row r="14" spans="1:10" ht="15" x14ac:dyDescent="0.2">
      <c r="A14" s="98"/>
      <c r="G14" s="60"/>
      <c r="H14" s="61" t="s">
        <v>89</v>
      </c>
    </row>
    <row r="15" spans="1:10" ht="14.25" x14ac:dyDescent="0.2">
      <c r="A15" s="98"/>
      <c r="G15" s="64"/>
      <c r="H15" s="65">
        <f>H13+J12</f>
        <v>44954</v>
      </c>
    </row>
    <row r="16" spans="1:10" ht="14.25" x14ac:dyDescent="0.2">
      <c r="A16" s="98"/>
      <c r="B16" s="62"/>
      <c r="G16" s="65"/>
      <c r="H16" s="65"/>
    </row>
    <row r="17" spans="1:8" ht="14.25" x14ac:dyDescent="0.2">
      <c r="A17" s="98"/>
      <c r="F17" s="65"/>
      <c r="G17" s="65"/>
      <c r="H17" s="66"/>
    </row>
    <row r="18" spans="1:8" ht="22.5" customHeight="1" x14ac:dyDescent="0.2">
      <c r="A18" s="98"/>
      <c r="B18" s="279" t="s">
        <v>90</v>
      </c>
      <c r="C18" s="280"/>
      <c r="D18" s="280"/>
      <c r="E18" s="280"/>
      <c r="F18" s="65"/>
      <c r="G18" s="65"/>
      <c r="H18" s="66"/>
    </row>
    <row r="19" spans="1:8" ht="15" x14ac:dyDescent="0.2">
      <c r="A19" s="98"/>
      <c r="B19" s="295" t="s">
        <v>76</v>
      </c>
      <c r="C19" s="296"/>
      <c r="D19" s="296"/>
      <c r="E19" s="296"/>
      <c r="F19" s="65"/>
      <c r="G19" s="65"/>
      <c r="H19" s="66"/>
    </row>
    <row r="20" spans="1:8" ht="14.25" x14ac:dyDescent="0.2">
      <c r="A20" s="98"/>
      <c r="B20" s="297" t="s">
        <v>115</v>
      </c>
      <c r="C20" s="296"/>
      <c r="D20" s="296"/>
      <c r="E20" s="296"/>
      <c r="F20" s="65"/>
      <c r="G20" s="65"/>
      <c r="H20" s="66"/>
    </row>
    <row r="21" spans="1:8" ht="14.25" x14ac:dyDescent="0.2">
      <c r="A21" s="98"/>
      <c r="B21" s="62"/>
      <c r="C21" s="67"/>
      <c r="D21" s="67"/>
      <c r="E21" s="67"/>
      <c r="F21" s="65"/>
      <c r="G21" s="65"/>
      <c r="H21" s="66"/>
    </row>
    <row r="22" spans="1:8" ht="14.25" x14ac:dyDescent="0.2">
      <c r="A22" s="98"/>
      <c r="B22" s="62"/>
      <c r="C22" s="67"/>
      <c r="D22" s="67"/>
      <c r="E22" s="67"/>
      <c r="F22" s="65"/>
      <c r="G22" s="65"/>
      <c r="H22" s="66"/>
    </row>
    <row r="23" spans="1:8" ht="22.5" customHeight="1" x14ac:dyDescent="0.2">
      <c r="A23" s="98"/>
      <c r="B23" s="282"/>
      <c r="C23" s="280"/>
      <c r="D23" s="280"/>
      <c r="E23" s="280"/>
      <c r="F23" s="67"/>
      <c r="G23" s="67"/>
      <c r="H23" s="67"/>
    </row>
    <row r="24" spans="1:8" ht="27.75" customHeight="1" x14ac:dyDescent="0.2">
      <c r="B24" s="280"/>
      <c r="C24" s="280"/>
      <c r="D24" s="280"/>
      <c r="E24" s="280"/>
      <c r="F24" s="280"/>
      <c r="G24" s="280"/>
      <c r="H24" s="280"/>
    </row>
    <row r="25" spans="1:8" ht="27.75" customHeight="1" x14ac:dyDescent="0.2">
      <c r="B25" s="67"/>
      <c r="C25" s="67"/>
      <c r="D25" s="67"/>
      <c r="E25" s="67"/>
      <c r="F25" s="67"/>
      <c r="G25" s="67"/>
      <c r="H25" s="67"/>
    </row>
    <row r="26" spans="1:8" ht="15.75" customHeight="1" x14ac:dyDescent="0.2">
      <c r="B26" s="67"/>
      <c r="C26" s="67"/>
      <c r="D26" s="67"/>
      <c r="E26" s="67"/>
      <c r="F26" s="67"/>
      <c r="G26" s="67"/>
      <c r="H26" s="67"/>
    </row>
    <row r="27" spans="1:8" ht="15" x14ac:dyDescent="0.25">
      <c r="B27" s="68" t="s">
        <v>88</v>
      </c>
      <c r="C27" s="272" t="s">
        <v>92</v>
      </c>
      <c r="D27" s="272"/>
      <c r="E27" s="70" t="s">
        <v>110</v>
      </c>
      <c r="F27" s="70" t="s">
        <v>94</v>
      </c>
      <c r="G27" s="70" t="s">
        <v>18</v>
      </c>
      <c r="H27" s="70" t="s">
        <v>116</v>
      </c>
    </row>
    <row r="28" spans="1:8" ht="31.5" customHeight="1" x14ac:dyDescent="0.2">
      <c r="B28" s="71">
        <v>44946</v>
      </c>
      <c r="C28" s="293" t="s">
        <v>117</v>
      </c>
      <c r="D28" s="294"/>
      <c r="E28" s="99">
        <v>39</v>
      </c>
      <c r="F28" s="108">
        <v>3</v>
      </c>
      <c r="G28" s="101">
        <v>0.1</v>
      </c>
      <c r="H28" s="99">
        <f>E28*F28</f>
        <v>117</v>
      </c>
    </row>
    <row r="29" spans="1:8" ht="19.5" customHeight="1" x14ac:dyDescent="0.2">
      <c r="B29" s="102"/>
      <c r="C29" s="286"/>
      <c r="D29" s="287"/>
      <c r="E29" s="77"/>
      <c r="F29" s="103"/>
      <c r="G29" s="103"/>
      <c r="H29" s="77"/>
    </row>
    <row r="30" spans="1:8" ht="30" customHeight="1" x14ac:dyDescent="0.2">
      <c r="B30" s="72"/>
      <c r="C30" s="290"/>
      <c r="D30" s="280"/>
      <c r="E30" s="63"/>
      <c r="F30" s="79"/>
      <c r="G30" s="79" t="s">
        <v>97</v>
      </c>
      <c r="H30" s="80">
        <f>SUM(H28:H29)</f>
        <v>117</v>
      </c>
    </row>
    <row r="31" spans="1:8" ht="30" customHeight="1" x14ac:dyDescent="0.2">
      <c r="B31" s="72"/>
      <c r="C31" s="72"/>
      <c r="D31" s="67"/>
      <c r="E31" s="63"/>
      <c r="F31" s="79"/>
      <c r="G31" s="79" t="s">
        <v>113</v>
      </c>
      <c r="H31" s="80">
        <f>G28*H28</f>
        <v>11.700000000000001</v>
      </c>
    </row>
    <row r="32" spans="1:8" ht="30" customHeight="1" x14ac:dyDescent="0.2">
      <c r="B32" s="72"/>
      <c r="C32" s="290"/>
      <c r="D32" s="280"/>
      <c r="E32" s="63"/>
      <c r="F32" s="81"/>
      <c r="G32" s="81" t="s">
        <v>99</v>
      </c>
      <c r="H32" s="82">
        <v>0</v>
      </c>
    </row>
    <row r="33" spans="1:9" ht="30" customHeight="1" x14ac:dyDescent="0.25">
      <c r="B33" s="83"/>
      <c r="C33" s="291"/>
      <c r="D33" s="278"/>
      <c r="E33" s="84"/>
      <c r="F33" s="85"/>
      <c r="G33" s="85" t="s">
        <v>100</v>
      </c>
      <c r="H33" s="86">
        <f>SUM(H30:H32)</f>
        <v>128.69999999999999</v>
      </c>
    </row>
    <row r="34" spans="1:9" ht="30" customHeight="1" x14ac:dyDescent="0.25">
      <c r="B34" s="83"/>
      <c r="C34" s="83"/>
      <c r="E34" s="84"/>
      <c r="F34" s="85"/>
      <c r="G34" s="85"/>
      <c r="H34" s="87"/>
    </row>
    <row r="35" spans="1:9" ht="30" customHeight="1" x14ac:dyDescent="0.25">
      <c r="B35" s="83"/>
      <c r="C35" s="83"/>
      <c r="E35" s="84"/>
      <c r="F35" s="85"/>
      <c r="G35" s="85"/>
      <c r="H35" s="86"/>
    </row>
    <row r="36" spans="1:9" ht="30" customHeight="1" x14ac:dyDescent="0.25">
      <c r="B36" s="83"/>
      <c r="C36" s="83"/>
      <c r="E36" s="84"/>
      <c r="F36" s="85"/>
      <c r="G36" s="85"/>
      <c r="H36" s="86"/>
    </row>
    <row r="37" spans="1:9" ht="30" customHeight="1" x14ac:dyDescent="0.25">
      <c r="B37" s="83"/>
      <c r="C37" s="83"/>
      <c r="E37" s="84"/>
      <c r="F37" s="85"/>
      <c r="G37" s="85"/>
      <c r="H37" s="86"/>
    </row>
    <row r="38" spans="1:9" ht="30" customHeight="1" x14ac:dyDescent="0.25">
      <c r="B38" s="83"/>
      <c r="C38" s="83"/>
      <c r="E38" s="84"/>
      <c r="F38" s="85"/>
      <c r="G38" s="85"/>
      <c r="H38" s="86"/>
    </row>
    <row r="39" spans="1:9" ht="30" customHeight="1" x14ac:dyDescent="0.25">
      <c r="B39" s="83"/>
      <c r="C39" s="83"/>
      <c r="E39" s="84"/>
      <c r="F39" s="85"/>
      <c r="G39" s="85"/>
      <c r="H39" s="86"/>
    </row>
    <row r="40" spans="1:9" ht="30" customHeight="1" x14ac:dyDescent="0.2">
      <c r="B40" s="83"/>
      <c r="C40" s="88"/>
      <c r="D40" s="292" t="s">
        <v>101</v>
      </c>
      <c r="E40" s="292"/>
      <c r="F40" s="292"/>
      <c r="G40" s="89"/>
      <c r="H40" s="90"/>
    </row>
    <row r="41" spans="1:9" ht="12.75" customHeight="1" x14ac:dyDescent="0.2"/>
    <row r="42" spans="1:9" ht="12.75" x14ac:dyDescent="0.2">
      <c r="A42" s="92"/>
      <c r="B42" s="91" t="s">
        <v>102</v>
      </c>
      <c r="C42" s="92"/>
      <c r="D42" s="92"/>
      <c r="E42" s="104"/>
      <c r="F42" s="95"/>
      <c r="G42" s="95"/>
      <c r="H42" s="105" t="s">
        <v>103</v>
      </c>
      <c r="I42" s="106"/>
    </row>
    <row r="43" spans="1:9" ht="14.25" customHeight="1" x14ac:dyDescent="0.2">
      <c r="A43" s="92"/>
      <c r="B43" s="94" t="s">
        <v>104</v>
      </c>
      <c r="C43" s="53"/>
      <c r="D43" s="53"/>
      <c r="E43" s="104"/>
      <c r="F43" s="104"/>
      <c r="G43" s="283">
        <f>H33</f>
        <v>128.69999999999999</v>
      </c>
      <c r="H43" s="283"/>
      <c r="I43" s="298"/>
    </row>
    <row r="44" spans="1:9" ht="14.25" x14ac:dyDescent="0.2">
      <c r="A44" s="53"/>
      <c r="B44" s="94" t="s">
        <v>106</v>
      </c>
      <c r="C44" s="53"/>
      <c r="D44" s="53"/>
      <c r="E44" s="104"/>
      <c r="F44" s="104"/>
      <c r="G44" s="283"/>
      <c r="H44" s="283"/>
      <c r="I44" s="298"/>
    </row>
    <row r="45" spans="1:9" ht="14.25" x14ac:dyDescent="0.2">
      <c r="A45" s="53"/>
      <c r="B45" s="94" t="s">
        <v>107</v>
      </c>
      <c r="C45" s="53"/>
      <c r="D45" s="53"/>
      <c r="E45" s="95"/>
      <c r="F45" s="95"/>
      <c r="G45" s="95"/>
      <c r="H45" s="95"/>
      <c r="I45" s="95"/>
    </row>
    <row r="46" spans="1:9" ht="14.25" x14ac:dyDescent="0.2">
      <c r="A46" s="53"/>
      <c r="B46" s="94" t="s">
        <v>118</v>
      </c>
      <c r="C46" s="96"/>
      <c r="D46" s="96"/>
      <c r="E46" s="97"/>
      <c r="F46" s="97"/>
      <c r="G46" s="97"/>
      <c r="H46" s="97"/>
      <c r="I46" s="95"/>
    </row>
    <row r="47" spans="1:9" ht="53.25" customHeight="1" x14ac:dyDescent="0.2">
      <c r="B47" s="284"/>
      <c r="C47" s="278"/>
      <c r="D47" s="278"/>
      <c r="E47" s="278"/>
      <c r="F47" s="278"/>
      <c r="G47" s="278"/>
      <c r="H47" s="278"/>
    </row>
    <row r="51" spans="6:7" ht="15.75" customHeight="1" x14ac:dyDescent="0.2">
      <c r="F51" s="62"/>
      <c r="G51" s="62"/>
    </row>
    <row r="52" spans="6:7" ht="15.75" customHeight="1" x14ac:dyDescent="0.2">
      <c r="F52" s="62"/>
      <c r="G52" s="62"/>
    </row>
    <row r="53" spans="6:7" ht="15.75" customHeight="1" x14ac:dyDescent="0.2">
      <c r="F53" s="62"/>
      <c r="G53" s="62"/>
    </row>
    <row r="56" spans="6:7" ht="15.75" customHeight="1" x14ac:dyDescent="0.2">
      <c r="F56" s="62"/>
      <c r="G56" s="62"/>
    </row>
    <row r="58" spans="6:7" ht="15.75" customHeight="1" x14ac:dyDescent="0.2">
      <c r="F58" s="62"/>
      <c r="G58" s="62"/>
    </row>
  </sheetData>
  <mergeCells count="21">
    <mergeCell ref="G43:H44"/>
    <mergeCell ref="I43:I44"/>
    <mergeCell ref="B47:H47"/>
    <mergeCell ref="C28:D28"/>
    <mergeCell ref="C29:D29"/>
    <mergeCell ref="C30:D30"/>
    <mergeCell ref="C32:D32"/>
    <mergeCell ref="C33:D33"/>
    <mergeCell ref="D40:F40"/>
    <mergeCell ref="C27:D27"/>
    <mergeCell ref="E3:H3"/>
    <mergeCell ref="B4:D6"/>
    <mergeCell ref="E4:H4"/>
    <mergeCell ref="E5:H5"/>
    <mergeCell ref="E6:H6"/>
    <mergeCell ref="B9:H9"/>
    <mergeCell ref="B18:E18"/>
    <mergeCell ref="B19:E19"/>
    <mergeCell ref="B20:E20"/>
    <mergeCell ref="B23:E23"/>
    <mergeCell ref="B24:H24"/>
  </mergeCells>
  <conditionalFormatting sqref="B26">
    <cfRule type="notContainsBlanks" dxfId="6" priority="1">
      <formula>LEN(TRIM(B26))&gt;0</formula>
    </cfRule>
  </conditionalFormatting>
  <hyperlinks>
    <hyperlink ref="B12" r:id="rId1" xr:uid="{914FBCF9-650D-4C37-8088-0138B162100E}"/>
  </hyperlinks>
  <printOptions horizontalCentered="1" verticalCentered="1"/>
  <pageMargins left="0.13" right="7.0000000000000007E-2" top="0.19685039370078741" bottom="0.19685039370078741" header="0.31496062992125984" footer="0.31496062992125984"/>
  <pageSetup paperSize="9" scale="88" orientation="portrait" r:id="rId2"/>
  <drawing r:id="rId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9E11BB-A9FF-49F4-B1F9-D5A553E057C9}">
  <sheetPr codeName="Sheet57">
    <tabColor theme="9" tint="-0.499984740745262"/>
    <outlinePr summaryBelow="0" summaryRight="0"/>
    <pageSetUpPr fitToPage="1"/>
  </sheetPr>
  <dimension ref="A1:J59"/>
  <sheetViews>
    <sheetView showGridLines="0" zoomScale="120" zoomScaleNormal="120" workbookViewId="0">
      <selection activeCell="H11" sqref="H11"/>
    </sheetView>
  </sheetViews>
  <sheetFormatPr defaultColWidth="14.42578125" defaultRowHeight="15.75" customHeight="1" x14ac:dyDescent="0.2"/>
  <cols>
    <col min="1" max="1" width="3.42578125" style="55" customWidth="1"/>
    <col min="2" max="3" width="14.42578125" style="55"/>
    <col min="4" max="4" width="26.42578125" style="55" customWidth="1"/>
    <col min="5" max="5" width="18.140625" style="55" bestFit="1" customWidth="1"/>
    <col min="6" max="6" width="16.42578125" style="55" customWidth="1"/>
    <col min="7" max="7" width="13.28515625" style="55" customWidth="1"/>
    <col min="8" max="8" width="16.42578125" style="55" customWidth="1"/>
    <col min="9" max="9" width="2.42578125" style="55" customWidth="1"/>
    <col min="10" max="16384" width="14.42578125" style="55"/>
  </cols>
  <sheetData>
    <row r="1" spans="1:10" ht="39" customHeight="1" x14ac:dyDescent="0.2">
      <c r="A1" s="53"/>
      <c r="B1" s="54"/>
      <c r="C1" s="54"/>
      <c r="D1" s="54"/>
      <c r="E1" s="54"/>
      <c r="F1" s="54"/>
      <c r="G1" s="54"/>
      <c r="H1" s="54"/>
      <c r="I1" s="54"/>
    </row>
    <row r="2" spans="1:10" x14ac:dyDescent="0.25">
      <c r="A2" s="53"/>
      <c r="B2" s="56"/>
      <c r="C2" s="56"/>
      <c r="D2" s="56"/>
      <c r="E2" s="57"/>
      <c r="F2" s="57"/>
      <c r="G2" s="57"/>
      <c r="H2" s="57"/>
      <c r="I2" s="56"/>
    </row>
    <row r="3" spans="1:10" ht="12.75" x14ac:dyDescent="0.2">
      <c r="A3" s="53"/>
      <c r="B3" s="56"/>
      <c r="C3" s="56"/>
      <c r="D3" s="56"/>
      <c r="E3" s="273"/>
      <c r="F3" s="274"/>
      <c r="G3" s="274"/>
      <c r="H3" s="274"/>
      <c r="I3" s="56"/>
    </row>
    <row r="4" spans="1:10" ht="12.75" x14ac:dyDescent="0.2">
      <c r="A4" s="53"/>
      <c r="B4" s="275" t="s">
        <v>83</v>
      </c>
      <c r="C4" s="276"/>
      <c r="D4" s="276"/>
      <c r="E4" s="277"/>
      <c r="F4" s="274"/>
      <c r="G4" s="274"/>
      <c r="H4" s="274"/>
      <c r="I4" s="56"/>
    </row>
    <row r="5" spans="1:10" ht="12.75" x14ac:dyDescent="0.2">
      <c r="A5" s="53"/>
      <c r="B5" s="276"/>
      <c r="C5" s="276"/>
      <c r="D5" s="276"/>
      <c r="E5" s="277"/>
      <c r="F5" s="274"/>
      <c r="G5" s="274"/>
      <c r="H5" s="274"/>
      <c r="I5" s="56"/>
    </row>
    <row r="6" spans="1:10" ht="12.75" x14ac:dyDescent="0.2">
      <c r="A6" s="53"/>
      <c r="B6" s="276"/>
      <c r="C6" s="276"/>
      <c r="D6" s="276"/>
      <c r="E6" s="277"/>
      <c r="F6" s="274"/>
      <c r="G6" s="274"/>
      <c r="H6" s="274"/>
      <c r="I6" s="56"/>
    </row>
    <row r="7" spans="1:10" ht="36.75" customHeight="1" x14ac:dyDescent="0.2">
      <c r="A7" s="53"/>
      <c r="B7" s="54"/>
      <c r="C7" s="54"/>
      <c r="D7" s="54"/>
      <c r="E7" s="54"/>
      <c r="F7" s="54"/>
      <c r="G7" s="54"/>
      <c r="H7" s="54"/>
      <c r="I7" s="54"/>
    </row>
    <row r="8" spans="1:10" ht="21.75" customHeight="1" x14ac:dyDescent="0.2">
      <c r="B8" s="58"/>
      <c r="C8" s="58"/>
      <c r="D8" s="58"/>
      <c r="E8" s="58"/>
      <c r="F8" s="58"/>
      <c r="G8" s="58"/>
      <c r="H8" s="58"/>
      <c r="I8" s="58"/>
      <c r="J8" s="59"/>
    </row>
    <row r="9" spans="1:10" ht="15.75" customHeight="1" x14ac:dyDescent="0.2">
      <c r="B9" s="278"/>
      <c r="C9" s="278"/>
      <c r="D9" s="278"/>
      <c r="E9" s="278"/>
      <c r="F9" s="278"/>
      <c r="G9" s="278"/>
      <c r="H9" s="278"/>
    </row>
    <row r="10" spans="1:10" ht="15" customHeight="1" x14ac:dyDescent="0.2">
      <c r="B10" s="60" t="s">
        <v>84</v>
      </c>
      <c r="G10" s="60"/>
      <c r="H10" s="61" t="s">
        <v>85</v>
      </c>
    </row>
    <row r="11" spans="1:10" ht="14.25" x14ac:dyDescent="0.2">
      <c r="B11" s="62" t="s">
        <v>86</v>
      </c>
      <c r="G11" s="62"/>
      <c r="H11" s="63" t="str">
        <f>"HC"&amp;J11</f>
        <v>HC1016</v>
      </c>
      <c r="J11" s="55">
        <v>1016</v>
      </c>
    </row>
    <row r="12" spans="1:10" ht="15" x14ac:dyDescent="0.2">
      <c r="B12" s="62" t="s">
        <v>87</v>
      </c>
      <c r="G12" s="60"/>
      <c r="H12" s="61" t="s">
        <v>88</v>
      </c>
      <c r="J12" s="55">
        <v>5</v>
      </c>
    </row>
    <row r="13" spans="1:10" ht="14.25" x14ac:dyDescent="0.2">
      <c r="B13" s="62"/>
      <c r="G13" s="64"/>
      <c r="H13" s="65">
        <v>44943</v>
      </c>
    </row>
    <row r="14" spans="1:10" ht="15" x14ac:dyDescent="0.2">
      <c r="G14" s="60"/>
      <c r="H14" s="61" t="s">
        <v>89</v>
      </c>
    </row>
    <row r="15" spans="1:10" ht="14.25" x14ac:dyDescent="0.2">
      <c r="G15" s="64"/>
      <c r="H15" s="65">
        <f>H13+J12</f>
        <v>44948</v>
      </c>
    </row>
    <row r="16" spans="1:10" ht="14.25" x14ac:dyDescent="0.2">
      <c r="B16" s="62"/>
      <c r="F16" s="65"/>
      <c r="G16" s="65"/>
      <c r="H16" s="65"/>
    </row>
    <row r="17" spans="2:8" ht="14.25" x14ac:dyDescent="0.2">
      <c r="F17" s="65"/>
      <c r="G17" s="65"/>
      <c r="H17" s="66"/>
    </row>
    <row r="18" spans="2:8" ht="22.5" customHeight="1" x14ac:dyDescent="0.2">
      <c r="B18" s="279" t="s">
        <v>90</v>
      </c>
      <c r="C18" s="280"/>
      <c r="D18" s="280"/>
      <c r="E18" s="280"/>
      <c r="F18" s="65"/>
      <c r="G18" s="65"/>
      <c r="H18" s="66"/>
    </row>
    <row r="19" spans="2:8" ht="15" x14ac:dyDescent="0.2">
      <c r="B19" s="279" t="s">
        <v>119</v>
      </c>
      <c r="C19" s="280"/>
      <c r="D19" s="280"/>
      <c r="E19" s="280"/>
      <c r="F19" s="65"/>
      <c r="G19" s="65"/>
      <c r="H19" s="66"/>
    </row>
    <row r="20" spans="2:8" ht="14.25" x14ac:dyDescent="0.2">
      <c r="B20" s="282" t="s">
        <v>120</v>
      </c>
      <c r="C20" s="280"/>
      <c r="D20" s="280"/>
      <c r="E20" s="280"/>
      <c r="F20" s="65"/>
      <c r="G20" s="65"/>
      <c r="H20" s="66"/>
    </row>
    <row r="21" spans="2:8" ht="14.25" x14ac:dyDescent="0.2">
      <c r="B21" s="62"/>
      <c r="C21" s="67"/>
      <c r="D21" s="67"/>
      <c r="E21" s="67"/>
      <c r="F21" s="65"/>
      <c r="G21" s="65"/>
      <c r="H21" s="66"/>
    </row>
    <row r="22" spans="2:8" ht="14.25" x14ac:dyDescent="0.2">
      <c r="B22" s="62"/>
      <c r="C22" s="67"/>
      <c r="D22" s="67"/>
      <c r="E22" s="67"/>
      <c r="F22" s="65"/>
      <c r="G22" s="65"/>
      <c r="H22" s="66"/>
    </row>
    <row r="23" spans="2:8" ht="22.5" customHeight="1" x14ac:dyDescent="0.2">
      <c r="B23" s="282"/>
      <c r="C23" s="280"/>
      <c r="D23" s="280"/>
      <c r="E23" s="280"/>
      <c r="F23" s="67"/>
      <c r="G23" s="67"/>
      <c r="H23" s="67"/>
    </row>
    <row r="24" spans="2:8" ht="27.75" customHeight="1" x14ac:dyDescent="0.2">
      <c r="B24" s="280"/>
      <c r="C24" s="280"/>
      <c r="D24" s="280"/>
      <c r="E24" s="280"/>
      <c r="F24" s="280"/>
      <c r="G24" s="280"/>
      <c r="H24" s="280"/>
    </row>
    <row r="25" spans="2:8" ht="27.75" customHeight="1" x14ac:dyDescent="0.2">
      <c r="B25" s="67"/>
      <c r="C25" s="67"/>
      <c r="D25" s="67"/>
      <c r="E25" s="67"/>
      <c r="F25" s="67"/>
      <c r="G25" s="67"/>
      <c r="H25" s="67"/>
    </row>
    <row r="26" spans="2:8" ht="15.75" customHeight="1" x14ac:dyDescent="0.2">
      <c r="B26" s="67"/>
      <c r="C26" s="67"/>
      <c r="D26" s="67"/>
      <c r="E26" s="67"/>
      <c r="F26" s="67"/>
      <c r="G26" s="67"/>
      <c r="H26" s="67"/>
    </row>
    <row r="27" spans="2:8" ht="15" x14ac:dyDescent="0.25">
      <c r="B27" s="68" t="s">
        <v>88</v>
      </c>
      <c r="C27" s="272" t="s">
        <v>92</v>
      </c>
      <c r="D27" s="272"/>
      <c r="E27" s="69" t="s">
        <v>110</v>
      </c>
      <c r="F27" s="69" t="s">
        <v>94</v>
      </c>
      <c r="G27" s="70" t="s">
        <v>18</v>
      </c>
      <c r="H27" s="69" t="s">
        <v>121</v>
      </c>
    </row>
    <row r="28" spans="2:8" ht="25.5" customHeight="1" x14ac:dyDescent="0.2">
      <c r="B28" s="71">
        <v>44942</v>
      </c>
      <c r="C28" s="290" t="s">
        <v>122</v>
      </c>
      <c r="D28" s="280"/>
      <c r="E28" s="73">
        <v>40</v>
      </c>
      <c r="F28" s="74">
        <v>2</v>
      </c>
      <c r="G28" s="75">
        <v>0.1</v>
      </c>
      <c r="H28" s="73">
        <f>E28*F28</f>
        <v>80</v>
      </c>
    </row>
    <row r="29" spans="2:8" ht="30" customHeight="1" x14ac:dyDescent="0.2">
      <c r="B29" s="76"/>
      <c r="C29" s="286"/>
      <c r="D29" s="287"/>
      <c r="E29" s="77"/>
      <c r="F29" s="78"/>
      <c r="G29" s="78"/>
      <c r="H29" s="77"/>
    </row>
    <row r="30" spans="2:8" ht="30" customHeight="1" x14ac:dyDescent="0.2">
      <c r="B30" s="72"/>
      <c r="C30" s="290"/>
      <c r="D30" s="280"/>
      <c r="E30" s="63"/>
      <c r="F30" s="79" t="s">
        <v>97</v>
      </c>
      <c r="G30" s="79"/>
      <c r="H30" s="80">
        <f>SUM(H28:H29)</f>
        <v>80</v>
      </c>
    </row>
    <row r="31" spans="2:8" ht="30" customHeight="1" x14ac:dyDescent="0.2">
      <c r="B31" s="72"/>
      <c r="C31" s="72"/>
      <c r="D31" s="67"/>
      <c r="E31" s="63"/>
      <c r="F31" s="79" t="s">
        <v>98</v>
      </c>
      <c r="G31" s="79"/>
      <c r="H31" s="80">
        <f>H30*0.1</f>
        <v>8</v>
      </c>
    </row>
    <row r="32" spans="2:8" ht="30" customHeight="1" x14ac:dyDescent="0.2">
      <c r="B32" s="72"/>
      <c r="C32" s="290"/>
      <c r="D32" s="280"/>
      <c r="E32" s="63"/>
      <c r="F32" s="81" t="s">
        <v>99</v>
      </c>
      <c r="G32" s="81"/>
      <c r="H32" s="82">
        <v>0</v>
      </c>
    </row>
    <row r="33" spans="1:9" ht="30" customHeight="1" x14ac:dyDescent="0.25">
      <c r="B33" s="83"/>
      <c r="C33" s="291"/>
      <c r="D33" s="278"/>
      <c r="E33" s="84"/>
      <c r="F33" s="85" t="s">
        <v>100</v>
      </c>
      <c r="G33" s="85"/>
      <c r="H33" s="86">
        <f>SUM(H30:H32)</f>
        <v>88</v>
      </c>
    </row>
    <row r="34" spans="1:9" ht="30" customHeight="1" x14ac:dyDescent="0.25">
      <c r="B34" s="83"/>
      <c r="C34" s="83"/>
      <c r="E34" s="84"/>
      <c r="F34" s="85"/>
      <c r="G34" s="85"/>
      <c r="H34" s="87"/>
    </row>
    <row r="35" spans="1:9" ht="30" customHeight="1" x14ac:dyDescent="0.25">
      <c r="B35" s="83"/>
      <c r="C35" s="83"/>
      <c r="E35" s="84"/>
      <c r="F35" s="85"/>
      <c r="G35" s="85"/>
      <c r="H35" s="86"/>
    </row>
    <row r="36" spans="1:9" ht="30" customHeight="1" x14ac:dyDescent="0.25">
      <c r="B36" s="83"/>
      <c r="C36" s="83"/>
      <c r="E36" s="84"/>
      <c r="F36" s="85"/>
      <c r="G36" s="85"/>
      <c r="H36" s="86"/>
    </row>
    <row r="37" spans="1:9" ht="30" customHeight="1" x14ac:dyDescent="0.25">
      <c r="B37" s="83"/>
      <c r="C37" s="83"/>
      <c r="E37" s="84"/>
      <c r="F37" s="85"/>
      <c r="G37" s="85"/>
      <c r="H37" s="86"/>
    </row>
    <row r="38" spans="1:9" ht="30" customHeight="1" x14ac:dyDescent="0.25">
      <c r="B38" s="83"/>
      <c r="C38" s="83"/>
      <c r="E38" s="84"/>
      <c r="F38" s="85"/>
      <c r="G38" s="85"/>
      <c r="H38" s="86"/>
    </row>
    <row r="39" spans="1:9" ht="30" customHeight="1" x14ac:dyDescent="0.25">
      <c r="B39" s="83"/>
      <c r="C39" s="83"/>
      <c r="E39" s="84"/>
      <c r="F39" s="85"/>
      <c r="G39" s="85"/>
      <c r="H39" s="86"/>
    </row>
    <row r="40" spans="1:9" ht="30" customHeight="1" x14ac:dyDescent="0.25">
      <c r="B40" s="83"/>
      <c r="C40" s="83"/>
      <c r="E40" s="84"/>
      <c r="F40" s="85"/>
      <c r="G40" s="85"/>
      <c r="H40" s="86"/>
    </row>
    <row r="41" spans="1:9" ht="30" customHeight="1" x14ac:dyDescent="0.2">
      <c r="B41" s="83"/>
      <c r="C41" s="88"/>
      <c r="D41" s="292" t="s">
        <v>101</v>
      </c>
      <c r="E41" s="292"/>
      <c r="F41" s="292"/>
      <c r="G41" s="89"/>
      <c r="H41" s="90"/>
    </row>
    <row r="42" spans="1:9" ht="12.75" customHeight="1" x14ac:dyDescent="0.2"/>
    <row r="43" spans="1:9" ht="12.75" x14ac:dyDescent="0.2">
      <c r="A43" s="53"/>
      <c r="B43" s="91" t="s">
        <v>102</v>
      </c>
      <c r="C43" s="92"/>
      <c r="D43" s="92"/>
      <c r="E43" s="300" t="s">
        <v>103</v>
      </c>
      <c r="F43" s="300"/>
      <c r="G43" s="300"/>
      <c r="H43" s="300"/>
      <c r="I43" s="106"/>
    </row>
    <row r="44" spans="1:9" ht="14.25" customHeight="1" x14ac:dyDescent="0.2">
      <c r="A44" s="53"/>
      <c r="B44" s="94" t="s">
        <v>104</v>
      </c>
      <c r="C44" s="53"/>
      <c r="D44" s="53"/>
      <c r="E44" s="283">
        <f>H33</f>
        <v>88</v>
      </c>
      <c r="F44" s="283"/>
      <c r="G44" s="283"/>
      <c r="H44" s="283"/>
      <c r="I44" s="106"/>
    </row>
    <row r="45" spans="1:9" ht="14.25" x14ac:dyDescent="0.2">
      <c r="A45" s="53"/>
      <c r="B45" s="94" t="s">
        <v>106</v>
      </c>
      <c r="C45" s="53"/>
      <c r="D45" s="53"/>
      <c r="E45" s="283"/>
      <c r="F45" s="283"/>
      <c r="G45" s="283"/>
      <c r="H45" s="283"/>
      <c r="I45" s="106"/>
    </row>
    <row r="46" spans="1:9" ht="14.25" x14ac:dyDescent="0.2">
      <c r="A46" s="53"/>
      <c r="B46" s="94" t="s">
        <v>107</v>
      </c>
      <c r="C46" s="53"/>
      <c r="D46" s="53"/>
      <c r="E46" s="95"/>
      <c r="F46" s="95"/>
      <c r="G46" s="95"/>
      <c r="H46" s="95"/>
      <c r="I46" s="95"/>
    </row>
    <row r="47" spans="1:9" ht="14.25" x14ac:dyDescent="0.2">
      <c r="A47" s="53"/>
      <c r="B47" s="94" t="s">
        <v>114</v>
      </c>
      <c r="C47" s="96"/>
      <c r="D47" s="96"/>
      <c r="E47" s="97"/>
      <c r="F47" s="97"/>
      <c r="G47" s="97"/>
      <c r="H47" s="97"/>
      <c r="I47" s="95"/>
    </row>
    <row r="48" spans="1:9" ht="53.25" customHeight="1" x14ac:dyDescent="0.2">
      <c r="B48" s="284"/>
      <c r="C48" s="278"/>
      <c r="D48" s="278"/>
      <c r="E48" s="278"/>
      <c r="F48" s="278"/>
      <c r="G48" s="278"/>
      <c r="H48" s="278"/>
    </row>
    <row r="52" spans="6:7" ht="15.75" customHeight="1" x14ac:dyDescent="0.2">
      <c r="F52" s="62"/>
      <c r="G52" s="62"/>
    </row>
    <row r="53" spans="6:7" ht="15.75" customHeight="1" x14ac:dyDescent="0.2">
      <c r="F53" s="62"/>
      <c r="G53" s="62"/>
    </row>
    <row r="54" spans="6:7" ht="15.75" customHeight="1" x14ac:dyDescent="0.2">
      <c r="F54" s="62"/>
      <c r="G54" s="62"/>
    </row>
    <row r="57" spans="6:7" ht="15.75" customHeight="1" x14ac:dyDescent="0.2">
      <c r="F57" s="62"/>
      <c r="G57" s="62"/>
    </row>
    <row r="59" spans="6:7" ht="15.75" customHeight="1" x14ac:dyDescent="0.2">
      <c r="F59" s="62"/>
      <c r="G59" s="62"/>
    </row>
  </sheetData>
  <mergeCells count="21">
    <mergeCell ref="E43:H43"/>
    <mergeCell ref="E44:H45"/>
    <mergeCell ref="B48:H48"/>
    <mergeCell ref="C28:D28"/>
    <mergeCell ref="C29:D29"/>
    <mergeCell ref="C30:D30"/>
    <mergeCell ref="C32:D32"/>
    <mergeCell ref="C33:D33"/>
    <mergeCell ref="D41:F41"/>
    <mergeCell ref="C27:D27"/>
    <mergeCell ref="E3:H3"/>
    <mergeCell ref="B4:D6"/>
    <mergeCell ref="E4:H4"/>
    <mergeCell ref="E5:H5"/>
    <mergeCell ref="E6:H6"/>
    <mergeCell ref="B9:H9"/>
    <mergeCell ref="B18:E18"/>
    <mergeCell ref="B19:E19"/>
    <mergeCell ref="B20:E20"/>
    <mergeCell ref="B23:E23"/>
    <mergeCell ref="B24:H24"/>
  </mergeCells>
  <conditionalFormatting sqref="B26">
    <cfRule type="notContainsBlanks" dxfId="5" priority="1">
      <formula>LEN(TRIM(B26))&gt;0</formula>
    </cfRule>
  </conditionalFormatting>
  <hyperlinks>
    <hyperlink ref="B12" r:id="rId1" xr:uid="{21A3FA93-77CE-4770-8F3E-7AA0FF33C7E6}"/>
  </hyperlinks>
  <pageMargins left="0.28999999999999998" right="0.19" top="0.6" bottom="0.5" header="0.31496062000000002" footer="0.31496062000000002"/>
  <pageSetup paperSize="9" scale="79" orientation="portrait" r:id="rId2"/>
  <drawing r:id="rId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1CAF4-4FAD-489D-9055-D3645D9BD9B4}">
  <sheetPr codeName="Sheet58">
    <tabColor theme="9" tint="-0.499984740745262"/>
    <outlinePr summaryBelow="0" summaryRight="0"/>
    <pageSetUpPr fitToPage="1"/>
  </sheetPr>
  <dimension ref="A1:J59"/>
  <sheetViews>
    <sheetView showGridLines="0" topLeftCell="A2" zoomScale="120" zoomScaleNormal="120" workbookViewId="0">
      <selection activeCell="H11" sqref="H11"/>
    </sheetView>
  </sheetViews>
  <sheetFormatPr defaultColWidth="14.42578125" defaultRowHeight="15.75" customHeight="1" x14ac:dyDescent="0.2"/>
  <cols>
    <col min="1" max="1" width="3" style="55" customWidth="1"/>
    <col min="2" max="2" width="16.28515625" style="55" customWidth="1"/>
    <col min="3" max="3" width="14.42578125" style="55"/>
    <col min="4" max="4" width="27.42578125" style="55" customWidth="1"/>
    <col min="5" max="5" width="16" style="55" customWidth="1"/>
    <col min="6" max="6" width="14.7109375" style="55" customWidth="1"/>
    <col min="7" max="7" width="8.7109375" style="55" customWidth="1"/>
    <col min="8" max="8" width="16.7109375" style="55" customWidth="1"/>
    <col min="9" max="9" width="2.42578125" style="55" customWidth="1"/>
    <col min="10" max="16384" width="14.42578125" style="55"/>
  </cols>
  <sheetData>
    <row r="1" spans="1:10" ht="39" customHeight="1" x14ac:dyDescent="0.2">
      <c r="A1" s="54"/>
      <c r="B1" s="54"/>
      <c r="C1" s="54"/>
      <c r="D1" s="54"/>
      <c r="E1" s="54"/>
      <c r="F1" s="54"/>
      <c r="G1" s="54"/>
      <c r="H1" s="54"/>
      <c r="I1" s="54"/>
    </row>
    <row r="2" spans="1:10" x14ac:dyDescent="0.25">
      <c r="A2" s="54"/>
      <c r="B2" s="56"/>
      <c r="C2" s="56"/>
      <c r="D2" s="56"/>
      <c r="E2" s="57"/>
      <c r="F2" s="57"/>
      <c r="G2" s="57"/>
      <c r="H2" s="57"/>
      <c r="I2" s="56"/>
    </row>
    <row r="3" spans="1:10" ht="12.75" x14ac:dyDescent="0.2">
      <c r="A3" s="54"/>
      <c r="B3" s="56"/>
      <c r="C3" s="56"/>
      <c r="D3" s="56"/>
      <c r="E3" s="273"/>
      <c r="F3" s="274"/>
      <c r="G3" s="274"/>
      <c r="H3" s="274"/>
      <c r="I3" s="56"/>
    </row>
    <row r="4" spans="1:10" ht="12.75" x14ac:dyDescent="0.2">
      <c r="A4" s="54"/>
      <c r="B4" s="275" t="s">
        <v>83</v>
      </c>
      <c r="C4" s="276"/>
      <c r="D4" s="276"/>
      <c r="E4" s="277"/>
      <c r="F4" s="274"/>
      <c r="G4" s="274"/>
      <c r="H4" s="274"/>
      <c r="I4" s="56"/>
    </row>
    <row r="5" spans="1:10" ht="12.75" x14ac:dyDescent="0.2">
      <c r="A5" s="54"/>
      <c r="B5" s="276"/>
      <c r="C5" s="276"/>
      <c r="D5" s="276"/>
      <c r="E5" s="277"/>
      <c r="F5" s="274"/>
      <c r="G5" s="274"/>
      <c r="H5" s="274"/>
      <c r="I5" s="56"/>
    </row>
    <row r="6" spans="1:10" ht="12.75" x14ac:dyDescent="0.2">
      <c r="A6" s="54"/>
      <c r="B6" s="276"/>
      <c r="C6" s="276"/>
      <c r="D6" s="276"/>
      <c r="E6" s="277"/>
      <c r="F6" s="274"/>
      <c r="G6" s="274"/>
      <c r="H6" s="274"/>
      <c r="I6" s="56"/>
    </row>
    <row r="7" spans="1:10" ht="36.75" customHeight="1" x14ac:dyDescent="0.2">
      <c r="A7" s="54"/>
      <c r="B7" s="54"/>
      <c r="C7" s="54"/>
      <c r="D7" s="54"/>
      <c r="E7" s="54"/>
      <c r="F7" s="54"/>
      <c r="G7" s="54"/>
      <c r="H7" s="54"/>
      <c r="I7" s="54"/>
    </row>
    <row r="8" spans="1:10" ht="21.75" customHeight="1" x14ac:dyDescent="0.2">
      <c r="A8" s="58"/>
      <c r="B8" s="58"/>
      <c r="C8" s="58"/>
      <c r="D8" s="58"/>
      <c r="E8" s="58"/>
      <c r="F8" s="58"/>
      <c r="G8" s="58"/>
      <c r="H8" s="58"/>
      <c r="I8" s="58"/>
      <c r="J8" s="59"/>
    </row>
    <row r="9" spans="1:10" ht="15.75" customHeight="1" x14ac:dyDescent="0.2">
      <c r="B9" s="278"/>
      <c r="C9" s="278"/>
      <c r="D9" s="278"/>
      <c r="E9" s="278"/>
      <c r="F9" s="278"/>
      <c r="G9" s="278"/>
      <c r="H9" s="278"/>
    </row>
    <row r="10" spans="1:10" ht="15" customHeight="1" x14ac:dyDescent="0.2">
      <c r="A10" s="98"/>
      <c r="B10" s="60" t="s">
        <v>84</v>
      </c>
      <c r="G10" s="60"/>
      <c r="H10" s="61" t="s">
        <v>85</v>
      </c>
    </row>
    <row r="11" spans="1:10" ht="14.25" x14ac:dyDescent="0.2">
      <c r="A11" s="98"/>
      <c r="B11" s="62" t="s">
        <v>86</v>
      </c>
      <c r="G11" s="62"/>
      <c r="H11" s="63" t="str">
        <f>"ER"&amp;J11</f>
        <v>ER148</v>
      </c>
      <c r="J11" s="55">
        <v>148</v>
      </c>
    </row>
    <row r="12" spans="1:10" ht="15" x14ac:dyDescent="0.2">
      <c r="A12" s="98"/>
      <c r="B12" s="62" t="s">
        <v>87</v>
      </c>
      <c r="G12" s="60"/>
      <c r="H12" s="61" t="s">
        <v>88</v>
      </c>
      <c r="J12" s="55">
        <v>7</v>
      </c>
    </row>
    <row r="13" spans="1:10" ht="14.25" x14ac:dyDescent="0.2">
      <c r="A13" s="98"/>
      <c r="B13" s="62"/>
      <c r="G13" s="64"/>
      <c r="H13" s="65">
        <v>44950</v>
      </c>
    </row>
    <row r="14" spans="1:10" ht="15" x14ac:dyDescent="0.2">
      <c r="A14" s="98"/>
      <c r="G14" s="60"/>
      <c r="H14" s="61" t="s">
        <v>89</v>
      </c>
    </row>
    <row r="15" spans="1:10" ht="14.25" x14ac:dyDescent="0.2">
      <c r="A15" s="98"/>
      <c r="G15" s="64"/>
      <c r="H15" s="65">
        <f>H13+J12</f>
        <v>44957</v>
      </c>
    </row>
    <row r="16" spans="1:10" ht="14.25" x14ac:dyDescent="0.2">
      <c r="A16" s="98"/>
      <c r="B16" s="62"/>
      <c r="F16" s="65"/>
      <c r="G16" s="65"/>
      <c r="H16" s="65"/>
    </row>
    <row r="17" spans="1:8" ht="14.25" x14ac:dyDescent="0.2">
      <c r="A17" s="98"/>
      <c r="F17" s="65"/>
      <c r="G17" s="65"/>
      <c r="H17" s="66"/>
    </row>
    <row r="18" spans="1:8" ht="22.5" customHeight="1" x14ac:dyDescent="0.2">
      <c r="A18" s="98"/>
      <c r="B18" s="279" t="s">
        <v>90</v>
      </c>
      <c r="C18" s="280"/>
      <c r="D18" s="280"/>
      <c r="E18" s="280"/>
      <c r="F18" s="65"/>
      <c r="G18" s="65"/>
      <c r="H18" s="66"/>
    </row>
    <row r="19" spans="1:8" ht="15" x14ac:dyDescent="0.2">
      <c r="A19" s="98"/>
      <c r="B19" s="279" t="s">
        <v>123</v>
      </c>
      <c r="C19" s="280"/>
      <c r="D19" s="280"/>
      <c r="E19" s="280"/>
      <c r="F19" s="65"/>
      <c r="G19" s="65"/>
      <c r="H19" s="66"/>
    </row>
    <row r="20" spans="1:8" ht="14.25" x14ac:dyDescent="0.2">
      <c r="A20" s="98"/>
      <c r="B20" s="282" t="s">
        <v>124</v>
      </c>
      <c r="C20" s="280"/>
      <c r="D20" s="280"/>
      <c r="E20" s="280"/>
      <c r="F20" s="65"/>
      <c r="G20" s="65"/>
      <c r="H20" s="66"/>
    </row>
    <row r="21" spans="1:8" ht="14.25" x14ac:dyDescent="0.2">
      <c r="A21" s="98"/>
      <c r="B21" s="62"/>
      <c r="C21" s="67"/>
      <c r="D21" s="67"/>
      <c r="E21" s="67"/>
      <c r="F21" s="65"/>
      <c r="G21" s="65"/>
      <c r="H21" s="66"/>
    </row>
    <row r="22" spans="1:8" ht="14.25" x14ac:dyDescent="0.2">
      <c r="A22" s="98"/>
      <c r="B22" s="62"/>
      <c r="C22" s="67"/>
      <c r="D22" s="67"/>
      <c r="E22" s="67"/>
      <c r="F22" s="65"/>
      <c r="G22" s="65"/>
      <c r="H22" s="66"/>
    </row>
    <row r="23" spans="1:8" ht="22.5" customHeight="1" x14ac:dyDescent="0.2">
      <c r="A23" s="98"/>
      <c r="B23" s="282"/>
      <c r="C23" s="280"/>
      <c r="D23" s="280"/>
      <c r="E23" s="280"/>
      <c r="F23" s="67"/>
      <c r="G23" s="67"/>
      <c r="H23" s="67"/>
    </row>
    <row r="24" spans="1:8" ht="27.75" customHeight="1" x14ac:dyDescent="0.2">
      <c r="B24" s="280"/>
      <c r="C24" s="280"/>
      <c r="D24" s="280"/>
      <c r="E24" s="280"/>
      <c r="F24" s="280"/>
      <c r="G24" s="280"/>
      <c r="H24" s="280"/>
    </row>
    <row r="25" spans="1:8" ht="27.75" customHeight="1" x14ac:dyDescent="0.2">
      <c r="B25" s="67"/>
      <c r="C25" s="67"/>
      <c r="D25" s="67"/>
      <c r="E25" s="67"/>
      <c r="F25" s="67"/>
      <c r="G25" s="67"/>
      <c r="H25" s="67"/>
    </row>
    <row r="26" spans="1:8" ht="15.75" customHeight="1" x14ac:dyDescent="0.2">
      <c r="B26" s="67"/>
      <c r="C26" s="67"/>
      <c r="D26" s="67"/>
      <c r="E26" s="67"/>
      <c r="F26" s="67"/>
      <c r="G26" s="67"/>
      <c r="H26" s="67"/>
    </row>
    <row r="27" spans="1:8" ht="15" x14ac:dyDescent="0.25">
      <c r="B27" s="68" t="s">
        <v>88</v>
      </c>
      <c r="C27" s="272" t="s">
        <v>92</v>
      </c>
      <c r="D27" s="272"/>
      <c r="E27" s="70" t="s">
        <v>110</v>
      </c>
      <c r="F27" s="70" t="s">
        <v>94</v>
      </c>
      <c r="G27" s="70" t="s">
        <v>18</v>
      </c>
      <c r="H27" s="70" t="s">
        <v>121</v>
      </c>
    </row>
    <row r="28" spans="1:8" ht="25.5" customHeight="1" x14ac:dyDescent="0.2">
      <c r="B28" s="71">
        <v>44949</v>
      </c>
      <c r="C28" s="290" t="s">
        <v>122</v>
      </c>
      <c r="D28" s="280"/>
      <c r="E28" s="99">
        <v>38</v>
      </c>
      <c r="F28" s="100">
        <v>2.5</v>
      </c>
      <c r="G28" s="101">
        <v>0.1</v>
      </c>
      <c r="H28" s="99">
        <f>E28*F28</f>
        <v>95</v>
      </c>
    </row>
    <row r="29" spans="1:8" ht="30" customHeight="1" x14ac:dyDescent="0.2">
      <c r="B29" s="76"/>
      <c r="C29" s="286"/>
      <c r="D29" s="287"/>
      <c r="E29" s="109"/>
      <c r="F29" s="110"/>
      <c r="G29" s="110"/>
      <c r="H29" s="111"/>
    </row>
    <row r="30" spans="1:8" ht="30" customHeight="1" x14ac:dyDescent="0.2">
      <c r="B30" s="72"/>
      <c r="C30" s="290"/>
      <c r="D30" s="280"/>
      <c r="E30" s="63"/>
      <c r="F30" s="79" t="s">
        <v>97</v>
      </c>
      <c r="G30" s="79"/>
      <c r="H30" s="80">
        <f>SUM(H28:H29)</f>
        <v>95</v>
      </c>
    </row>
    <row r="31" spans="1:8" ht="30" customHeight="1" x14ac:dyDescent="0.2">
      <c r="B31" s="72"/>
      <c r="C31" s="72"/>
      <c r="D31" s="67"/>
      <c r="E31" s="63"/>
      <c r="F31" s="79" t="s">
        <v>125</v>
      </c>
      <c r="G31" s="79"/>
      <c r="H31" s="80">
        <f>H30*G28</f>
        <v>9.5</v>
      </c>
    </row>
    <row r="32" spans="1:8" ht="30" customHeight="1" x14ac:dyDescent="0.2">
      <c r="B32" s="72"/>
      <c r="C32" s="290"/>
      <c r="D32" s="280"/>
      <c r="E32" s="63"/>
      <c r="F32" s="81" t="s">
        <v>99</v>
      </c>
      <c r="G32" s="81"/>
      <c r="H32" s="82">
        <v>0</v>
      </c>
    </row>
    <row r="33" spans="1:9" ht="30" customHeight="1" x14ac:dyDescent="0.25">
      <c r="B33" s="83"/>
      <c r="C33" s="291"/>
      <c r="D33" s="278"/>
      <c r="E33" s="84"/>
      <c r="F33" s="85" t="s">
        <v>100</v>
      </c>
      <c r="G33" s="85"/>
      <c r="H33" s="86">
        <f>SUM(H30:H32)</f>
        <v>104.5</v>
      </c>
    </row>
    <row r="34" spans="1:9" ht="30" customHeight="1" x14ac:dyDescent="0.25">
      <c r="B34" s="83"/>
      <c r="C34" s="83"/>
      <c r="E34" s="84"/>
      <c r="F34" s="85"/>
      <c r="G34" s="85"/>
      <c r="H34" s="87"/>
    </row>
    <row r="35" spans="1:9" ht="30" customHeight="1" x14ac:dyDescent="0.25">
      <c r="B35" s="83" t="s">
        <v>126</v>
      </c>
      <c r="C35" s="83"/>
      <c r="E35" s="84"/>
      <c r="F35" s="85"/>
      <c r="G35" s="85"/>
      <c r="H35" s="86"/>
    </row>
    <row r="36" spans="1:9" ht="30" customHeight="1" x14ac:dyDescent="0.25">
      <c r="B36" s="83"/>
      <c r="C36" s="83"/>
      <c r="E36" s="84"/>
      <c r="F36" s="85"/>
      <c r="G36" s="85"/>
      <c r="H36" s="86"/>
    </row>
    <row r="37" spans="1:9" ht="30" customHeight="1" x14ac:dyDescent="0.25">
      <c r="B37" s="83"/>
      <c r="C37" s="83"/>
      <c r="E37" s="84"/>
      <c r="F37" s="85"/>
      <c r="G37" s="85"/>
      <c r="H37" s="86"/>
    </row>
    <row r="38" spans="1:9" ht="30" customHeight="1" x14ac:dyDescent="0.25">
      <c r="B38" s="83"/>
      <c r="C38" s="83"/>
      <c r="E38" s="84"/>
      <c r="F38" s="85"/>
      <c r="G38" s="85"/>
      <c r="H38" s="86"/>
    </row>
    <row r="39" spans="1:9" ht="30" customHeight="1" x14ac:dyDescent="0.25">
      <c r="B39" s="83"/>
      <c r="C39" s="83"/>
      <c r="E39" s="84"/>
      <c r="F39" s="85"/>
      <c r="G39" s="85"/>
      <c r="H39" s="86"/>
    </row>
    <row r="40" spans="1:9" ht="30" customHeight="1" x14ac:dyDescent="0.25">
      <c r="B40" s="83"/>
      <c r="C40" s="83"/>
      <c r="E40" s="84"/>
      <c r="F40" s="85"/>
      <c r="G40" s="85"/>
      <c r="H40" s="86"/>
    </row>
    <row r="41" spans="1:9" ht="30" customHeight="1" x14ac:dyDescent="0.2">
      <c r="B41" s="83"/>
      <c r="C41" s="88"/>
      <c r="D41" s="292" t="s">
        <v>101</v>
      </c>
      <c r="E41" s="292"/>
      <c r="F41" s="292"/>
      <c r="G41" s="89"/>
      <c r="H41" s="90"/>
    </row>
    <row r="42" spans="1:9" ht="12.75" customHeight="1" x14ac:dyDescent="0.2"/>
    <row r="43" spans="1:9" ht="12.75" x14ac:dyDescent="0.2">
      <c r="A43" s="92"/>
      <c r="B43" s="91" t="s">
        <v>102</v>
      </c>
      <c r="C43" s="92"/>
      <c r="D43" s="92"/>
      <c r="E43" s="300" t="s">
        <v>103</v>
      </c>
      <c r="F43" s="300"/>
      <c r="G43" s="300"/>
      <c r="H43" s="300"/>
      <c r="I43" s="300"/>
    </row>
    <row r="44" spans="1:9" ht="14.25" customHeight="1" x14ac:dyDescent="0.2">
      <c r="A44" s="92"/>
      <c r="B44" s="94" t="s">
        <v>104</v>
      </c>
      <c r="C44" s="53"/>
      <c r="D44" s="53"/>
      <c r="E44" s="305">
        <f>H33</f>
        <v>104.5</v>
      </c>
      <c r="F44" s="305"/>
      <c r="G44" s="305"/>
      <c r="H44" s="305"/>
      <c r="I44" s="305"/>
    </row>
    <row r="45" spans="1:9" ht="15.75" customHeight="1" x14ac:dyDescent="0.2">
      <c r="A45" s="53"/>
      <c r="B45" s="94" t="s">
        <v>105</v>
      </c>
      <c r="C45" s="53"/>
      <c r="D45" s="53"/>
      <c r="E45" s="305"/>
      <c r="F45" s="305"/>
      <c r="G45" s="305"/>
      <c r="H45" s="305"/>
      <c r="I45" s="305"/>
    </row>
    <row r="46" spans="1:9" ht="14.25" x14ac:dyDescent="0.2">
      <c r="A46" s="53"/>
      <c r="B46" s="94" t="s">
        <v>106</v>
      </c>
      <c r="C46" s="53"/>
      <c r="D46" s="53"/>
      <c r="E46" s="95"/>
      <c r="F46" s="95"/>
      <c r="G46" s="95"/>
      <c r="H46" s="95"/>
      <c r="I46" s="95"/>
    </row>
    <row r="47" spans="1:9" ht="14.25" x14ac:dyDescent="0.2">
      <c r="A47" s="53"/>
      <c r="B47" s="94" t="s">
        <v>107</v>
      </c>
      <c r="C47" s="96"/>
      <c r="D47" s="96"/>
      <c r="E47" s="97"/>
      <c r="F47" s="97"/>
      <c r="G47" s="97"/>
      <c r="H47" s="97"/>
      <c r="I47" s="95"/>
    </row>
    <row r="48" spans="1:9" ht="53.25" customHeight="1" x14ac:dyDescent="0.2">
      <c r="B48" s="284"/>
      <c r="C48" s="278"/>
      <c r="D48" s="278"/>
      <c r="E48" s="278"/>
      <c r="F48" s="278"/>
      <c r="G48" s="278"/>
      <c r="H48" s="278"/>
    </row>
    <row r="52" spans="6:7" ht="15.75" customHeight="1" x14ac:dyDescent="0.2">
      <c r="F52" s="62"/>
      <c r="G52" s="62"/>
    </row>
    <row r="53" spans="6:7" ht="15.75" customHeight="1" x14ac:dyDescent="0.2">
      <c r="F53" s="62"/>
      <c r="G53" s="62"/>
    </row>
    <row r="54" spans="6:7" ht="15.75" customHeight="1" x14ac:dyDescent="0.2">
      <c r="F54" s="62"/>
      <c r="G54" s="62"/>
    </row>
    <row r="57" spans="6:7" ht="15.75" customHeight="1" x14ac:dyDescent="0.2">
      <c r="F57" s="62"/>
      <c r="G57" s="62"/>
    </row>
    <row r="59" spans="6:7" ht="15.75" customHeight="1" x14ac:dyDescent="0.2">
      <c r="F59" s="62"/>
      <c r="G59" s="62"/>
    </row>
  </sheetData>
  <mergeCells count="21">
    <mergeCell ref="E43:I43"/>
    <mergeCell ref="E44:I45"/>
    <mergeCell ref="B48:H48"/>
    <mergeCell ref="C28:D28"/>
    <mergeCell ref="C29:D29"/>
    <mergeCell ref="C30:D30"/>
    <mergeCell ref="C32:D32"/>
    <mergeCell ref="C33:D33"/>
    <mergeCell ref="D41:F41"/>
    <mergeCell ref="C27:D27"/>
    <mergeCell ref="E3:H3"/>
    <mergeCell ref="B4:D6"/>
    <mergeCell ref="E4:H4"/>
    <mergeCell ref="E5:H5"/>
    <mergeCell ref="E6:H6"/>
    <mergeCell ref="B9:H9"/>
    <mergeCell ref="B18:E18"/>
    <mergeCell ref="B19:E19"/>
    <mergeCell ref="B20:E20"/>
    <mergeCell ref="B23:E23"/>
    <mergeCell ref="B24:H24"/>
  </mergeCells>
  <conditionalFormatting sqref="B26">
    <cfRule type="notContainsBlanks" dxfId="4" priority="1">
      <formula>LEN(TRIM(B26))&gt;0</formula>
    </cfRule>
  </conditionalFormatting>
  <hyperlinks>
    <hyperlink ref="B12" r:id="rId1" xr:uid="{35ADBFFF-5170-4341-93E1-475E981EC06B}"/>
  </hyperlinks>
  <printOptions horizontalCentered="1" verticalCentered="1"/>
  <pageMargins left="0.23622047244094491" right="0.23622047244094491" top="0.52" bottom="0.38" header="0.31496062992125984" footer="0.31496062992125984"/>
  <pageSetup paperSize="9" scale="81" orientation="portrait" r:id="rId2"/>
  <drawing r:id="rId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B3C347-D5EC-436D-BEBE-D1622446DF4D}">
  <sheetPr codeName="Sheet52">
    <tabColor rgb="FFFFC000"/>
    <outlinePr summaryBelow="0" summaryRight="0"/>
    <pageSetUpPr fitToPage="1"/>
  </sheetPr>
  <dimension ref="A1:J59"/>
  <sheetViews>
    <sheetView showGridLines="0" topLeftCell="A6" workbookViewId="0">
      <selection activeCell="L7" sqref="L7"/>
    </sheetView>
  </sheetViews>
  <sheetFormatPr defaultColWidth="14.42578125" defaultRowHeight="15.75" customHeight="1" x14ac:dyDescent="0.2"/>
  <cols>
    <col min="1" max="1" width="5.42578125" style="55" customWidth="1"/>
    <col min="2" max="3" width="14.42578125" style="55"/>
    <col min="4" max="4" width="17.28515625" style="55" customWidth="1"/>
    <col min="5" max="5" width="18.140625" style="55" bestFit="1" customWidth="1"/>
    <col min="6" max="6" width="17.42578125" style="55" customWidth="1"/>
    <col min="7" max="7" width="12.42578125" style="55" customWidth="1"/>
    <col min="8" max="8" width="17" style="55" bestFit="1" customWidth="1"/>
    <col min="9" max="9" width="3.85546875" style="55" customWidth="1"/>
    <col min="10" max="16384" width="14.42578125" style="55"/>
  </cols>
  <sheetData>
    <row r="1" spans="1:10" ht="39" customHeight="1" x14ac:dyDescent="0.2">
      <c r="A1" s="54"/>
      <c r="B1" s="54"/>
      <c r="C1" s="54"/>
      <c r="D1" s="54"/>
      <c r="E1" s="54"/>
      <c r="F1" s="54"/>
      <c r="G1" s="54"/>
      <c r="H1" s="54"/>
      <c r="I1" s="54"/>
    </row>
    <row r="2" spans="1:10" x14ac:dyDescent="0.25">
      <c r="A2" s="54"/>
      <c r="B2" s="56"/>
      <c r="C2" s="56"/>
      <c r="D2" s="56"/>
      <c r="E2" s="57"/>
      <c r="F2" s="57"/>
      <c r="G2" s="57"/>
      <c r="H2" s="57"/>
      <c r="I2" s="56"/>
    </row>
    <row r="3" spans="1:10" ht="12.75" x14ac:dyDescent="0.2">
      <c r="A3" s="54"/>
      <c r="B3" s="56"/>
      <c r="C3" s="56"/>
      <c r="D3" s="56"/>
      <c r="E3" s="273"/>
      <c r="F3" s="274"/>
      <c r="G3" s="274"/>
      <c r="H3" s="274"/>
      <c r="I3" s="56"/>
    </row>
    <row r="4" spans="1:10" ht="12.75" x14ac:dyDescent="0.2">
      <c r="A4" s="54"/>
      <c r="B4" s="275" t="s">
        <v>83</v>
      </c>
      <c r="C4" s="276"/>
      <c r="D4" s="276"/>
      <c r="E4" s="277"/>
      <c r="F4" s="274"/>
      <c r="G4" s="274"/>
      <c r="H4" s="274"/>
      <c r="I4" s="56"/>
    </row>
    <row r="5" spans="1:10" ht="12.75" x14ac:dyDescent="0.2">
      <c r="A5" s="54"/>
      <c r="B5" s="276"/>
      <c r="C5" s="276"/>
      <c r="D5" s="276"/>
      <c r="E5" s="277"/>
      <c r="F5" s="274"/>
      <c r="G5" s="274"/>
      <c r="H5" s="274"/>
      <c r="I5" s="56"/>
    </row>
    <row r="6" spans="1:10" ht="12.75" x14ac:dyDescent="0.2">
      <c r="A6" s="54"/>
      <c r="B6" s="276"/>
      <c r="C6" s="276"/>
      <c r="D6" s="276"/>
      <c r="E6" s="277"/>
      <c r="F6" s="274"/>
      <c r="G6" s="274"/>
      <c r="H6" s="274"/>
      <c r="I6" s="56"/>
    </row>
    <row r="7" spans="1:10" ht="36.75" customHeight="1" x14ac:dyDescent="0.2">
      <c r="A7" s="54"/>
      <c r="B7" s="54"/>
      <c r="C7" s="54"/>
      <c r="D7" s="54"/>
      <c r="E7" s="54"/>
      <c r="F7" s="54"/>
      <c r="G7" s="54"/>
      <c r="H7" s="54"/>
      <c r="I7" s="54"/>
    </row>
    <row r="8" spans="1:10" ht="21.75" customHeight="1" x14ac:dyDescent="0.2">
      <c r="A8" s="58"/>
      <c r="B8" s="58"/>
      <c r="C8" s="58"/>
      <c r="D8" s="58"/>
      <c r="E8" s="58"/>
      <c r="F8" s="58"/>
      <c r="G8" s="58"/>
      <c r="H8" s="58"/>
      <c r="I8" s="58"/>
      <c r="J8" s="59"/>
    </row>
    <row r="9" spans="1:10" ht="15.75" customHeight="1" x14ac:dyDescent="0.2">
      <c r="B9" s="278"/>
      <c r="C9" s="278"/>
      <c r="D9" s="278"/>
      <c r="E9" s="278"/>
      <c r="F9" s="278"/>
      <c r="G9" s="278"/>
      <c r="H9" s="278"/>
    </row>
    <row r="10" spans="1:10" ht="15" customHeight="1" x14ac:dyDescent="0.2">
      <c r="A10" s="98"/>
      <c r="B10" s="60" t="s">
        <v>84</v>
      </c>
      <c r="G10" s="60"/>
      <c r="H10" s="61" t="s">
        <v>85</v>
      </c>
    </row>
    <row r="11" spans="1:10" ht="14.25" x14ac:dyDescent="0.2">
      <c r="A11" s="98"/>
      <c r="B11" s="62" t="s">
        <v>86</v>
      </c>
      <c r="G11" s="62"/>
      <c r="H11" s="63" t="str">
        <f>"ND"&amp;J11</f>
        <v>ND1002</v>
      </c>
      <c r="J11" s="55">
        <v>1002</v>
      </c>
    </row>
    <row r="12" spans="1:10" ht="15" x14ac:dyDescent="0.2">
      <c r="A12" s="98"/>
      <c r="B12" s="62" t="s">
        <v>87</v>
      </c>
      <c r="G12" s="60"/>
      <c r="H12" s="61" t="s">
        <v>88</v>
      </c>
      <c r="J12" s="55">
        <v>3</v>
      </c>
    </row>
    <row r="13" spans="1:10" ht="14.25" x14ac:dyDescent="0.2">
      <c r="A13" s="98"/>
      <c r="B13" s="62"/>
      <c r="G13" s="64"/>
      <c r="H13" s="65">
        <v>44767</v>
      </c>
    </row>
    <row r="14" spans="1:10" ht="15" x14ac:dyDescent="0.2">
      <c r="A14" s="98"/>
      <c r="G14" s="60"/>
      <c r="H14" s="61" t="s">
        <v>89</v>
      </c>
    </row>
    <row r="15" spans="1:10" ht="14.25" x14ac:dyDescent="0.2">
      <c r="A15" s="98"/>
      <c r="G15" s="64"/>
      <c r="H15" s="65">
        <f>H13+J12</f>
        <v>44770</v>
      </c>
    </row>
    <row r="16" spans="1:10" ht="14.25" x14ac:dyDescent="0.2">
      <c r="A16" s="98"/>
      <c r="B16" s="62"/>
      <c r="F16" s="65"/>
      <c r="G16" s="65"/>
      <c r="H16" s="65"/>
    </row>
    <row r="17" spans="1:8" ht="14.25" x14ac:dyDescent="0.2">
      <c r="A17" s="98"/>
      <c r="F17" s="65"/>
      <c r="G17" s="65"/>
      <c r="H17" s="66"/>
    </row>
    <row r="18" spans="1:8" ht="22.5" customHeight="1" x14ac:dyDescent="0.2">
      <c r="A18" s="98"/>
      <c r="B18" s="279" t="s">
        <v>90</v>
      </c>
      <c r="C18" s="280"/>
      <c r="D18" s="280"/>
      <c r="E18" s="280"/>
      <c r="F18" s="65"/>
      <c r="G18" s="65"/>
      <c r="H18" s="66"/>
    </row>
    <row r="19" spans="1:8" ht="15" x14ac:dyDescent="0.2">
      <c r="A19" s="98"/>
      <c r="B19" s="279" t="s">
        <v>260</v>
      </c>
      <c r="C19" s="280"/>
      <c r="D19" s="280"/>
      <c r="E19" s="280"/>
      <c r="F19" s="65"/>
      <c r="G19" s="65"/>
      <c r="H19" s="66"/>
    </row>
    <row r="20" spans="1:8" ht="14.25" x14ac:dyDescent="0.2">
      <c r="A20" s="98"/>
      <c r="B20" s="281" t="s">
        <v>261</v>
      </c>
      <c r="C20" s="280"/>
      <c r="D20" s="280"/>
      <c r="E20" s="280"/>
      <c r="F20" s="65"/>
      <c r="G20" s="65"/>
      <c r="H20" s="66"/>
    </row>
    <row r="21" spans="1:8" ht="14.25" x14ac:dyDescent="0.2">
      <c r="A21" s="98"/>
      <c r="B21" s="62"/>
      <c r="C21" s="67"/>
      <c r="D21" s="67"/>
      <c r="E21" s="67"/>
      <c r="F21" s="65"/>
      <c r="G21" s="65"/>
      <c r="H21" s="66"/>
    </row>
    <row r="22" spans="1:8" ht="14.25" x14ac:dyDescent="0.2">
      <c r="A22" s="98"/>
      <c r="B22" s="62"/>
      <c r="C22" s="67"/>
      <c r="D22" s="67"/>
      <c r="E22" s="67"/>
      <c r="F22" s="65"/>
      <c r="G22" s="65"/>
      <c r="H22" s="66"/>
    </row>
    <row r="23" spans="1:8" ht="22.5" customHeight="1" x14ac:dyDescent="0.2">
      <c r="A23" s="98"/>
      <c r="B23" s="282"/>
      <c r="C23" s="280"/>
      <c r="D23" s="280"/>
      <c r="E23" s="280"/>
      <c r="F23" s="67"/>
      <c r="G23" s="67"/>
      <c r="H23" s="67"/>
    </row>
    <row r="24" spans="1:8" ht="27.75" customHeight="1" x14ac:dyDescent="0.2">
      <c r="B24" s="280"/>
      <c r="C24" s="280"/>
      <c r="D24" s="280"/>
      <c r="E24" s="280"/>
      <c r="F24" s="280"/>
      <c r="G24" s="280"/>
      <c r="H24" s="280"/>
    </row>
    <row r="25" spans="1:8" ht="27.75" customHeight="1" x14ac:dyDescent="0.2">
      <c r="B25" s="67"/>
      <c r="C25" s="67"/>
      <c r="D25" s="67"/>
      <c r="E25" s="67"/>
      <c r="F25" s="67"/>
      <c r="G25" s="67"/>
      <c r="H25" s="67"/>
    </row>
    <row r="26" spans="1:8" ht="15.75" customHeight="1" x14ac:dyDescent="0.2">
      <c r="B26" s="67"/>
      <c r="C26" s="67"/>
      <c r="D26" s="67"/>
      <c r="E26" s="67"/>
      <c r="F26" s="67"/>
      <c r="G26" s="67"/>
      <c r="H26" s="67"/>
    </row>
    <row r="27" spans="1:8" ht="15" x14ac:dyDescent="0.25">
      <c r="B27" s="68" t="s">
        <v>88</v>
      </c>
      <c r="C27" s="272" t="s">
        <v>92</v>
      </c>
      <c r="D27" s="272"/>
      <c r="E27" s="70" t="s">
        <v>93</v>
      </c>
      <c r="F27" s="70" t="s">
        <v>262</v>
      </c>
      <c r="G27" s="70" t="s">
        <v>18</v>
      </c>
      <c r="H27" s="70" t="s">
        <v>121</v>
      </c>
    </row>
    <row r="28" spans="1:8" ht="54.75" customHeight="1" x14ac:dyDescent="0.2">
      <c r="B28" s="71">
        <v>44766</v>
      </c>
      <c r="C28" s="293" t="s">
        <v>263</v>
      </c>
      <c r="D28" s="299"/>
      <c r="E28" s="117">
        <v>45</v>
      </c>
      <c r="F28" s="151">
        <v>5</v>
      </c>
      <c r="G28" s="119">
        <v>0.1</v>
      </c>
      <c r="H28" s="117">
        <f>E28*F28</f>
        <v>225</v>
      </c>
    </row>
    <row r="29" spans="1:8" ht="15.75" customHeight="1" x14ac:dyDescent="0.2">
      <c r="B29" s="76"/>
      <c r="C29" s="286"/>
      <c r="D29" s="287"/>
      <c r="E29" s="109"/>
      <c r="F29" s="110"/>
      <c r="G29" s="110"/>
      <c r="H29" s="111"/>
    </row>
    <row r="30" spans="1:8" ht="30" customHeight="1" x14ac:dyDescent="0.2">
      <c r="B30" s="72"/>
      <c r="C30" s="290"/>
      <c r="D30" s="280"/>
      <c r="E30" s="63"/>
      <c r="F30" s="79" t="s">
        <v>97</v>
      </c>
      <c r="G30" s="79"/>
      <c r="H30" s="80">
        <f>SUM(H28:H29)</f>
        <v>225</v>
      </c>
    </row>
    <row r="31" spans="1:8" ht="30" customHeight="1" x14ac:dyDescent="0.2">
      <c r="B31" s="72"/>
      <c r="C31" s="72"/>
      <c r="D31" s="67"/>
      <c r="E31" s="63"/>
      <c r="F31" s="79" t="s">
        <v>125</v>
      </c>
      <c r="G31" s="79"/>
      <c r="H31" s="80">
        <f>G28*H28</f>
        <v>22.5</v>
      </c>
    </row>
    <row r="32" spans="1:8" ht="30" customHeight="1" x14ac:dyDescent="0.2">
      <c r="B32" s="72"/>
      <c r="C32" s="290"/>
      <c r="D32" s="280"/>
      <c r="E32" s="63"/>
      <c r="F32" s="81" t="s">
        <v>99</v>
      </c>
      <c r="G32" s="81"/>
      <c r="H32" s="82">
        <v>0</v>
      </c>
    </row>
    <row r="33" spans="1:9" ht="30" customHeight="1" x14ac:dyDescent="0.25">
      <c r="B33" s="83"/>
      <c r="C33" s="291"/>
      <c r="D33" s="278"/>
      <c r="E33" s="84"/>
      <c r="F33" s="85" t="s">
        <v>100</v>
      </c>
      <c r="G33" s="85"/>
      <c r="H33" s="86">
        <f>SUM(H30:H32)</f>
        <v>247.5</v>
      </c>
    </row>
    <row r="34" spans="1:9" ht="30" customHeight="1" x14ac:dyDescent="0.25">
      <c r="B34" s="83"/>
      <c r="C34" s="83"/>
      <c r="E34" s="84"/>
      <c r="F34" s="85"/>
      <c r="G34" s="85"/>
      <c r="H34" s="87"/>
    </row>
    <row r="35" spans="1:9" ht="30" customHeight="1" x14ac:dyDescent="0.25">
      <c r="B35" s="83"/>
      <c r="C35" s="83"/>
      <c r="E35" s="84"/>
      <c r="F35" s="85"/>
      <c r="G35" s="85"/>
      <c r="H35" s="86"/>
    </row>
    <row r="36" spans="1:9" ht="30" customHeight="1" x14ac:dyDescent="0.25">
      <c r="B36" s="83"/>
      <c r="C36" s="83"/>
      <c r="E36" s="84"/>
      <c r="F36" s="85"/>
      <c r="G36" s="85"/>
      <c r="H36" s="86"/>
    </row>
    <row r="37" spans="1:9" ht="30" customHeight="1" x14ac:dyDescent="0.25">
      <c r="B37" s="83"/>
      <c r="C37" s="83"/>
      <c r="E37" s="84"/>
      <c r="F37" s="85"/>
      <c r="G37" s="85"/>
      <c r="H37" s="86"/>
    </row>
    <row r="38" spans="1:9" ht="30" customHeight="1" x14ac:dyDescent="0.25">
      <c r="B38" s="83"/>
      <c r="C38" s="83"/>
      <c r="E38" s="84"/>
      <c r="F38" s="85"/>
      <c r="G38" s="85"/>
      <c r="H38" s="86"/>
    </row>
    <row r="39" spans="1:9" ht="30" customHeight="1" x14ac:dyDescent="0.25">
      <c r="B39" s="83"/>
      <c r="C39" s="83"/>
      <c r="E39" s="84"/>
      <c r="F39" s="85"/>
      <c r="G39" s="85"/>
      <c r="H39" s="86"/>
    </row>
    <row r="40" spans="1:9" ht="30" customHeight="1" x14ac:dyDescent="0.25">
      <c r="B40" s="83"/>
      <c r="C40" s="83"/>
      <c r="E40" s="84"/>
      <c r="F40" s="85"/>
      <c r="G40" s="85"/>
      <c r="H40" s="86"/>
    </row>
    <row r="41" spans="1:9" ht="30" customHeight="1" x14ac:dyDescent="0.2">
      <c r="B41" s="83"/>
      <c r="C41" s="88"/>
      <c r="D41" s="292" t="s">
        <v>101</v>
      </c>
      <c r="E41" s="292"/>
      <c r="F41" s="292"/>
      <c r="G41" s="89"/>
      <c r="H41" s="90"/>
    </row>
    <row r="42" spans="1:9" ht="12.75" customHeight="1" x14ac:dyDescent="0.2"/>
    <row r="43" spans="1:9" ht="12.75" x14ac:dyDescent="0.2">
      <c r="A43" s="92"/>
      <c r="B43" s="91" t="s">
        <v>102</v>
      </c>
      <c r="C43" s="92"/>
      <c r="D43" s="92"/>
      <c r="E43" s="120"/>
      <c r="F43" s="121"/>
      <c r="G43" s="121"/>
      <c r="H43" s="93" t="s">
        <v>103</v>
      </c>
      <c r="I43" s="122"/>
    </row>
    <row r="44" spans="1:9" ht="14.25" customHeight="1" x14ac:dyDescent="0.2">
      <c r="A44" s="92"/>
      <c r="B44" s="94" t="s">
        <v>104</v>
      </c>
      <c r="C44" s="53"/>
      <c r="D44" s="53"/>
      <c r="E44" s="120"/>
      <c r="F44" s="120"/>
      <c r="G44" s="283">
        <f>H33</f>
        <v>247.5</v>
      </c>
      <c r="H44" s="283"/>
      <c r="I44" s="122"/>
    </row>
    <row r="45" spans="1:9" ht="14.25" customHeight="1" x14ac:dyDescent="0.2">
      <c r="A45" s="53"/>
      <c r="B45" s="94" t="s">
        <v>106</v>
      </c>
      <c r="C45" s="53"/>
      <c r="D45" s="53"/>
      <c r="E45" s="120"/>
      <c r="F45" s="120"/>
      <c r="G45" s="283"/>
      <c r="H45" s="283"/>
      <c r="I45" s="122"/>
    </row>
    <row r="46" spans="1:9" ht="14.25" x14ac:dyDescent="0.2">
      <c r="A46" s="53"/>
      <c r="B46" s="94" t="s">
        <v>107</v>
      </c>
      <c r="C46" s="53"/>
      <c r="D46" s="53"/>
      <c r="E46" s="95"/>
      <c r="F46" s="95"/>
      <c r="G46" s="95"/>
      <c r="H46" s="95"/>
      <c r="I46" s="95"/>
    </row>
    <row r="47" spans="1:9" ht="14.25" x14ac:dyDescent="0.2">
      <c r="A47" s="53"/>
      <c r="B47" s="94" t="s">
        <v>114</v>
      </c>
      <c r="C47" s="96"/>
      <c r="D47" s="96"/>
      <c r="E47" s="97"/>
      <c r="F47" s="97"/>
      <c r="G47" s="97"/>
      <c r="H47" s="97"/>
      <c r="I47" s="95"/>
    </row>
    <row r="48" spans="1:9" ht="53.25" customHeight="1" x14ac:dyDescent="0.2">
      <c r="B48" s="284"/>
      <c r="C48" s="278"/>
      <c r="D48" s="278"/>
      <c r="E48" s="278"/>
      <c r="F48" s="278"/>
      <c r="G48" s="278"/>
      <c r="H48" s="278"/>
    </row>
    <row r="52" spans="6:7" ht="15.75" customHeight="1" x14ac:dyDescent="0.2">
      <c r="F52" s="62"/>
      <c r="G52" s="62"/>
    </row>
    <row r="53" spans="6:7" ht="15.75" customHeight="1" x14ac:dyDescent="0.2">
      <c r="F53" s="62"/>
      <c r="G53" s="62"/>
    </row>
    <row r="54" spans="6:7" ht="15.75" customHeight="1" x14ac:dyDescent="0.2">
      <c r="F54" s="62"/>
      <c r="G54" s="62"/>
    </row>
    <row r="57" spans="6:7" ht="15.75" customHeight="1" x14ac:dyDescent="0.2">
      <c r="F57" s="62"/>
      <c r="G57" s="62"/>
    </row>
    <row r="59" spans="6:7" ht="15.75" customHeight="1" x14ac:dyDescent="0.2">
      <c r="F59" s="62"/>
      <c r="G59" s="62"/>
    </row>
  </sheetData>
  <mergeCells count="20">
    <mergeCell ref="G44:H45"/>
    <mergeCell ref="B48:H48"/>
    <mergeCell ref="C28:D28"/>
    <mergeCell ref="C29:D29"/>
    <mergeCell ref="C30:D30"/>
    <mergeCell ref="C32:D32"/>
    <mergeCell ref="C33:D33"/>
    <mergeCell ref="D41:F41"/>
    <mergeCell ref="C27:D27"/>
    <mergeCell ref="E3:H3"/>
    <mergeCell ref="B4:D6"/>
    <mergeCell ref="E4:H4"/>
    <mergeCell ref="E5:H5"/>
    <mergeCell ref="E6:H6"/>
    <mergeCell ref="B9:H9"/>
    <mergeCell ref="B18:E18"/>
    <mergeCell ref="B19:E19"/>
    <mergeCell ref="B20:E20"/>
    <mergeCell ref="B23:E23"/>
    <mergeCell ref="B24:H24"/>
  </mergeCells>
  <conditionalFormatting sqref="B26">
    <cfRule type="notContainsBlanks" dxfId="3" priority="1">
      <formula>LEN(TRIM(B26))&gt;0</formula>
    </cfRule>
  </conditionalFormatting>
  <hyperlinks>
    <hyperlink ref="B12" r:id="rId1" xr:uid="{F8B72DB1-326F-4FE4-9B83-AE1C4DECB497}"/>
  </hyperlinks>
  <printOptions horizontalCentered="1" verticalCentered="1"/>
  <pageMargins left="0.11811023622047245" right="0" top="0.39370078740157483" bottom="0.31496062992125984" header="0.31496062992125984" footer="0.31496062992125984"/>
  <pageSetup paperSize="9" scale="81" orientation="portrait" r:id="rId2"/>
  <drawing r:id="rId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032C0-01F7-4959-9A73-69BDF181C30A}">
  <sheetPr codeName="Sheet53">
    <tabColor rgb="FFFFFF00"/>
    <outlinePr summaryBelow="0" summaryRight="0"/>
    <pageSetUpPr fitToPage="1"/>
  </sheetPr>
  <dimension ref="A1:J59"/>
  <sheetViews>
    <sheetView showGridLines="0" topLeftCell="A6" zoomScale="115" zoomScaleNormal="115" workbookViewId="0">
      <selection activeCell="J10" sqref="J10"/>
    </sheetView>
  </sheetViews>
  <sheetFormatPr defaultColWidth="14.42578125" defaultRowHeight="15.75" customHeight="1" x14ac:dyDescent="0.2"/>
  <cols>
    <col min="1" max="1" width="3.7109375" style="55" customWidth="1"/>
    <col min="2" max="3" width="14.42578125" style="55"/>
    <col min="4" max="4" width="23" style="55" customWidth="1"/>
    <col min="5" max="5" width="16.42578125" style="55" customWidth="1"/>
    <col min="6" max="6" width="12.42578125" style="55" customWidth="1"/>
    <col min="7" max="7" width="8.140625" style="55" customWidth="1"/>
    <col min="8" max="8" width="22.140625" style="55" customWidth="1"/>
    <col min="9" max="9" width="3.28515625" style="55" customWidth="1"/>
    <col min="10" max="16384" width="14.42578125" style="55"/>
  </cols>
  <sheetData>
    <row r="1" spans="1:10" ht="39" customHeight="1" x14ac:dyDescent="0.25">
      <c r="A1" s="54"/>
      <c r="B1" s="54"/>
      <c r="C1" s="54"/>
      <c r="D1" s="54"/>
      <c r="E1" s="54"/>
      <c r="F1" s="54"/>
      <c r="G1" s="54"/>
      <c r="H1" s="54"/>
      <c r="I1" s="126"/>
    </row>
    <row r="2" spans="1:10" x14ac:dyDescent="0.25">
      <c r="A2" s="54"/>
      <c r="B2" s="56"/>
      <c r="C2" s="56"/>
      <c r="D2" s="56"/>
      <c r="E2" s="57"/>
      <c r="F2" s="57"/>
      <c r="G2" s="57"/>
      <c r="H2" s="57"/>
      <c r="I2" s="57"/>
    </row>
    <row r="3" spans="1:10" ht="12.75" x14ac:dyDescent="0.2">
      <c r="A3" s="54"/>
      <c r="B3" s="56"/>
      <c r="C3" s="56"/>
      <c r="D3" s="56"/>
      <c r="E3" s="273"/>
      <c r="F3" s="274"/>
      <c r="G3" s="274"/>
      <c r="H3" s="274"/>
      <c r="I3" s="274"/>
    </row>
    <row r="4" spans="1:10" ht="12.75" x14ac:dyDescent="0.2">
      <c r="A4" s="54"/>
      <c r="B4" s="275" t="s">
        <v>83</v>
      </c>
      <c r="C4" s="276"/>
      <c r="D4" s="276"/>
      <c r="E4" s="277"/>
      <c r="F4" s="274"/>
      <c r="G4" s="274"/>
      <c r="H4" s="274"/>
      <c r="I4" s="274"/>
    </row>
    <row r="5" spans="1:10" ht="12.75" x14ac:dyDescent="0.2">
      <c r="A5" s="54"/>
      <c r="B5" s="276"/>
      <c r="C5" s="276"/>
      <c r="D5" s="276"/>
      <c r="E5" s="277"/>
      <c r="F5" s="274"/>
      <c r="G5" s="274"/>
      <c r="H5" s="274"/>
      <c r="I5" s="274"/>
    </row>
    <row r="6" spans="1:10" ht="12.75" x14ac:dyDescent="0.2">
      <c r="A6" s="54"/>
      <c r="B6" s="276"/>
      <c r="C6" s="276"/>
      <c r="D6" s="276"/>
      <c r="E6" s="277"/>
      <c r="F6" s="274"/>
      <c r="G6" s="274"/>
      <c r="H6" s="274"/>
      <c r="I6" s="274"/>
    </row>
    <row r="7" spans="1:10" ht="36.75" customHeight="1" x14ac:dyDescent="0.2">
      <c r="A7" s="54"/>
      <c r="B7" s="54"/>
      <c r="C7" s="54"/>
      <c r="D7" s="54"/>
      <c r="E7" s="54"/>
      <c r="F7" s="54"/>
      <c r="G7" s="54"/>
      <c r="H7" s="54"/>
      <c r="I7" s="54"/>
    </row>
    <row r="8" spans="1:10" ht="14.25" customHeight="1" x14ac:dyDescent="0.2">
      <c r="A8" s="58"/>
      <c r="B8" s="58"/>
      <c r="C8" s="58"/>
      <c r="D8" s="58"/>
      <c r="E8" s="58"/>
      <c r="F8" s="58"/>
      <c r="G8" s="58"/>
      <c r="H8" s="58"/>
      <c r="I8" s="58"/>
      <c r="J8" s="59"/>
    </row>
    <row r="9" spans="1:10" ht="15.75" customHeight="1" x14ac:dyDescent="0.2">
      <c r="B9" s="278"/>
      <c r="C9" s="278"/>
      <c r="D9" s="278"/>
      <c r="E9" s="278"/>
      <c r="F9" s="278"/>
      <c r="G9" s="278"/>
      <c r="H9" s="278"/>
      <c r="I9" s="278"/>
    </row>
    <row r="10" spans="1:10" ht="15" customHeight="1" x14ac:dyDescent="0.2">
      <c r="A10" s="98"/>
      <c r="B10" s="60" t="s">
        <v>84</v>
      </c>
      <c r="G10" s="60"/>
      <c r="H10" s="160" t="s">
        <v>85</v>
      </c>
      <c r="I10" s="67"/>
    </row>
    <row r="11" spans="1:10" ht="14.25" x14ac:dyDescent="0.2">
      <c r="A11" s="98"/>
      <c r="B11" s="62" t="s">
        <v>86</v>
      </c>
      <c r="G11" s="62"/>
      <c r="H11" s="161" t="str">
        <f>"ON"&amp;J11</f>
        <v>ON1017</v>
      </c>
      <c r="I11" s="67"/>
      <c r="J11" s="55">
        <v>1017</v>
      </c>
    </row>
    <row r="12" spans="1:10" ht="15" x14ac:dyDescent="0.2">
      <c r="A12" s="98"/>
      <c r="B12" s="62" t="s">
        <v>87</v>
      </c>
      <c r="G12" s="60"/>
      <c r="H12" s="160" t="s">
        <v>88</v>
      </c>
      <c r="I12" s="60"/>
      <c r="J12" s="55">
        <v>2</v>
      </c>
    </row>
    <row r="13" spans="1:10" ht="14.25" x14ac:dyDescent="0.2">
      <c r="A13" s="98"/>
      <c r="B13" s="62"/>
      <c r="G13" s="64"/>
      <c r="H13" s="162">
        <v>44903</v>
      </c>
      <c r="I13" s="64"/>
    </row>
    <row r="14" spans="1:10" ht="15" x14ac:dyDescent="0.2">
      <c r="A14" s="98"/>
      <c r="G14" s="60"/>
      <c r="H14" s="160" t="s">
        <v>89</v>
      </c>
      <c r="I14" s="60"/>
    </row>
    <row r="15" spans="1:10" ht="14.25" x14ac:dyDescent="0.2">
      <c r="A15" s="98"/>
      <c r="G15" s="64"/>
      <c r="H15" s="162">
        <f>H13+J12</f>
        <v>44905</v>
      </c>
      <c r="I15" s="64"/>
    </row>
    <row r="16" spans="1:10" ht="14.25" x14ac:dyDescent="0.2">
      <c r="A16" s="98"/>
      <c r="B16" s="62"/>
      <c r="F16" s="65"/>
      <c r="G16" s="65"/>
      <c r="H16" s="65"/>
      <c r="I16" s="65"/>
    </row>
    <row r="17" spans="1:9" ht="14.25" x14ac:dyDescent="0.2">
      <c r="A17" s="98"/>
      <c r="F17" s="65"/>
      <c r="G17" s="65"/>
      <c r="H17" s="66"/>
      <c r="I17" s="66"/>
    </row>
    <row r="18" spans="1:9" ht="22.5" customHeight="1" x14ac:dyDescent="0.2">
      <c r="A18" s="98"/>
      <c r="B18" s="279" t="s">
        <v>90</v>
      </c>
      <c r="C18" s="280"/>
      <c r="D18" s="280"/>
      <c r="E18" s="280"/>
      <c r="F18" s="65"/>
      <c r="G18" s="65"/>
      <c r="H18" s="66"/>
      <c r="I18" s="66"/>
    </row>
    <row r="19" spans="1:9" ht="14.25" x14ac:dyDescent="0.2">
      <c r="A19" s="98"/>
      <c r="B19" s="314" t="s">
        <v>264</v>
      </c>
      <c r="C19" s="296"/>
      <c r="D19" s="296"/>
      <c r="E19" s="296"/>
      <c r="F19" s="65"/>
      <c r="G19" s="65"/>
      <c r="H19" s="66"/>
      <c r="I19" s="66"/>
    </row>
    <row r="20" spans="1:9" ht="14.25" x14ac:dyDescent="0.2">
      <c r="A20" s="98"/>
      <c r="B20" s="301" t="s">
        <v>265</v>
      </c>
      <c r="C20" s="296"/>
      <c r="D20" s="296"/>
      <c r="E20" s="296"/>
      <c r="F20" s="65"/>
      <c r="G20" s="65"/>
      <c r="H20" s="66"/>
      <c r="I20" s="66"/>
    </row>
    <row r="21" spans="1:9" ht="14.25" x14ac:dyDescent="0.2">
      <c r="A21" s="98"/>
      <c r="B21" s="62"/>
      <c r="C21" s="67"/>
      <c r="D21" s="67"/>
      <c r="E21" s="67"/>
      <c r="F21" s="65"/>
      <c r="G21" s="65"/>
      <c r="H21" s="66"/>
      <c r="I21" s="66"/>
    </row>
    <row r="22" spans="1:9" ht="14.25" x14ac:dyDescent="0.2">
      <c r="A22" s="98"/>
      <c r="B22" s="62"/>
      <c r="C22" s="67"/>
      <c r="D22" s="67"/>
      <c r="E22" s="67"/>
      <c r="F22" s="65"/>
      <c r="G22" s="65"/>
      <c r="H22" s="66"/>
      <c r="I22" s="66"/>
    </row>
    <row r="23" spans="1:9" ht="22.5" customHeight="1" x14ac:dyDescent="0.2">
      <c r="A23" s="98"/>
      <c r="B23" s="282"/>
      <c r="C23" s="280"/>
      <c r="D23" s="280"/>
      <c r="E23" s="280"/>
      <c r="F23" s="67"/>
      <c r="G23" s="67"/>
      <c r="H23" s="67"/>
      <c r="I23" s="67"/>
    </row>
    <row r="24" spans="1:9" ht="27.75" customHeight="1" x14ac:dyDescent="0.2">
      <c r="B24" s="280"/>
      <c r="C24" s="280"/>
      <c r="D24" s="280"/>
      <c r="E24" s="280"/>
      <c r="F24" s="280"/>
      <c r="G24" s="280"/>
      <c r="H24" s="280"/>
      <c r="I24" s="280"/>
    </row>
    <row r="25" spans="1:9" ht="27.75" customHeight="1" x14ac:dyDescent="0.2">
      <c r="B25" s="67"/>
      <c r="C25" s="67"/>
      <c r="D25" s="67"/>
      <c r="E25" s="67"/>
      <c r="F25" s="67"/>
      <c r="G25" s="67"/>
      <c r="H25" s="67"/>
      <c r="I25" s="67"/>
    </row>
    <row r="26" spans="1:9" ht="15.75" customHeight="1" x14ac:dyDescent="0.2">
      <c r="B26" s="67"/>
      <c r="C26" s="67"/>
      <c r="D26" s="67"/>
      <c r="E26" s="67"/>
      <c r="F26" s="67"/>
      <c r="G26" s="67"/>
      <c r="H26" s="67"/>
      <c r="I26" s="67"/>
    </row>
    <row r="27" spans="1:9" ht="15" x14ac:dyDescent="0.25">
      <c r="B27" s="127" t="s">
        <v>0</v>
      </c>
      <c r="C27" s="272" t="s">
        <v>92</v>
      </c>
      <c r="D27" s="272"/>
      <c r="E27" s="69" t="s">
        <v>110</v>
      </c>
      <c r="F27" s="69" t="s">
        <v>129</v>
      </c>
      <c r="G27" s="69" t="s">
        <v>18</v>
      </c>
      <c r="H27" s="69" t="s">
        <v>95</v>
      </c>
      <c r="I27" s="67"/>
    </row>
    <row r="28" spans="1:9" ht="25.5" customHeight="1" x14ac:dyDescent="0.2">
      <c r="B28" s="71">
        <v>44897</v>
      </c>
      <c r="C28" s="290" t="s">
        <v>266</v>
      </c>
      <c r="D28" s="280"/>
      <c r="E28" s="73">
        <v>43</v>
      </c>
      <c r="F28" s="137">
        <v>2</v>
      </c>
      <c r="G28" s="138">
        <v>0.1</v>
      </c>
      <c r="H28" s="73">
        <f>E28*F28</f>
        <v>86</v>
      </c>
      <c r="I28" s="67"/>
    </row>
    <row r="29" spans="1:9" ht="30" customHeight="1" x14ac:dyDescent="0.2">
      <c r="B29" s="76"/>
      <c r="C29" s="286"/>
      <c r="D29" s="287"/>
      <c r="E29" s="109"/>
      <c r="F29" s="110"/>
      <c r="G29" s="110"/>
      <c r="H29" s="111"/>
      <c r="I29" s="67"/>
    </row>
    <row r="30" spans="1:9" ht="30" customHeight="1" x14ac:dyDescent="0.2">
      <c r="B30" s="72"/>
      <c r="C30" s="290"/>
      <c r="D30" s="280"/>
      <c r="E30" s="63"/>
      <c r="F30" s="79" t="s">
        <v>97</v>
      </c>
      <c r="G30" s="79"/>
      <c r="H30" s="80">
        <f>SUM(H28:H29)</f>
        <v>86</v>
      </c>
      <c r="I30" s="67"/>
    </row>
    <row r="31" spans="1:9" ht="30" customHeight="1" x14ac:dyDescent="0.2">
      <c r="B31" s="72"/>
      <c r="C31" s="72"/>
      <c r="D31" s="67"/>
      <c r="E31" s="63"/>
      <c r="F31" s="79" t="s">
        <v>113</v>
      </c>
      <c r="H31" s="80">
        <f>H30*0.1</f>
        <v>8.6</v>
      </c>
      <c r="I31" s="67"/>
    </row>
    <row r="32" spans="1:9" ht="30" customHeight="1" x14ac:dyDescent="0.2">
      <c r="B32" s="72"/>
      <c r="C32" s="290"/>
      <c r="D32" s="280"/>
      <c r="E32" s="63"/>
      <c r="F32" s="81" t="s">
        <v>99</v>
      </c>
      <c r="G32" s="81"/>
      <c r="H32" s="82">
        <f>-0.5*43*1.1</f>
        <v>-23.650000000000002</v>
      </c>
      <c r="I32" s="67"/>
    </row>
    <row r="33" spans="1:9" ht="30" customHeight="1" x14ac:dyDescent="0.25">
      <c r="B33" s="83"/>
      <c r="C33" s="291"/>
      <c r="D33" s="278"/>
      <c r="E33" s="84"/>
      <c r="F33" s="85" t="s">
        <v>100</v>
      </c>
      <c r="G33" s="85"/>
      <c r="H33" s="86">
        <f>SUM(H30:H32)</f>
        <v>70.949999999999989</v>
      </c>
      <c r="I33" s="130"/>
    </row>
    <row r="34" spans="1:9" ht="30" customHeight="1" x14ac:dyDescent="0.25">
      <c r="B34" s="83"/>
      <c r="C34" s="83"/>
      <c r="E34" s="84"/>
      <c r="F34" s="85"/>
      <c r="G34" s="85"/>
      <c r="H34" s="87"/>
      <c r="I34" s="130"/>
    </row>
    <row r="35" spans="1:9" ht="30" customHeight="1" x14ac:dyDescent="0.25">
      <c r="B35" s="83"/>
      <c r="C35" s="83"/>
      <c r="E35" s="84"/>
      <c r="F35" s="85"/>
      <c r="G35" s="85"/>
      <c r="H35" s="86"/>
      <c r="I35" s="130"/>
    </row>
    <row r="36" spans="1:9" ht="30" customHeight="1" x14ac:dyDescent="0.25">
      <c r="B36" s="83"/>
      <c r="C36" s="83"/>
      <c r="E36" s="84"/>
      <c r="F36" s="85"/>
      <c r="G36" s="85"/>
      <c r="H36" s="86"/>
      <c r="I36" s="130"/>
    </row>
    <row r="37" spans="1:9" ht="30" customHeight="1" x14ac:dyDescent="0.25">
      <c r="B37" s="83"/>
      <c r="C37" s="83"/>
      <c r="E37" s="84"/>
      <c r="F37" s="85"/>
      <c r="G37" s="85"/>
      <c r="H37" s="86"/>
      <c r="I37" s="130"/>
    </row>
    <row r="38" spans="1:9" ht="30" customHeight="1" x14ac:dyDescent="0.25">
      <c r="B38" s="83"/>
      <c r="C38" s="83"/>
      <c r="E38" s="84"/>
      <c r="F38" s="85"/>
      <c r="G38" s="85"/>
      <c r="H38" s="86"/>
      <c r="I38" s="130"/>
    </row>
    <row r="39" spans="1:9" ht="30" customHeight="1" x14ac:dyDescent="0.25">
      <c r="B39" s="83"/>
      <c r="C39" s="83"/>
      <c r="E39" s="84"/>
      <c r="F39" s="85"/>
      <c r="G39" s="85"/>
      <c r="H39" s="86"/>
      <c r="I39" s="130"/>
    </row>
    <row r="40" spans="1:9" ht="30" customHeight="1" x14ac:dyDescent="0.25">
      <c r="B40" s="83"/>
      <c r="C40" s="83"/>
      <c r="E40" s="84"/>
      <c r="F40" s="85"/>
      <c r="G40" s="85"/>
      <c r="H40" s="86"/>
      <c r="I40" s="130"/>
    </row>
    <row r="41" spans="1:9" ht="30" customHeight="1" x14ac:dyDescent="0.2">
      <c r="B41" s="83"/>
      <c r="C41" s="88"/>
      <c r="D41" s="292" t="s">
        <v>101</v>
      </c>
      <c r="E41" s="292"/>
      <c r="F41" s="292"/>
      <c r="G41" s="89"/>
      <c r="H41" s="90"/>
      <c r="I41" s="130"/>
    </row>
    <row r="42" spans="1:9" ht="12.75" customHeight="1" x14ac:dyDescent="0.2"/>
    <row r="43" spans="1:9" ht="12.75" x14ac:dyDescent="0.2">
      <c r="A43" s="92"/>
      <c r="B43" s="91" t="s">
        <v>102</v>
      </c>
      <c r="C43" s="92"/>
      <c r="D43" s="92"/>
      <c r="E43" s="300" t="s">
        <v>103</v>
      </c>
      <c r="F43" s="302"/>
      <c r="G43" s="302"/>
      <c r="H43" s="302"/>
      <c r="I43" s="302"/>
    </row>
    <row r="44" spans="1:9" ht="14.25" x14ac:dyDescent="0.2">
      <c r="A44" s="92"/>
      <c r="B44" s="94" t="s">
        <v>104</v>
      </c>
      <c r="C44" s="53"/>
      <c r="D44" s="53"/>
      <c r="E44" s="303">
        <f>H33</f>
        <v>70.949999999999989</v>
      </c>
      <c r="F44" s="304"/>
      <c r="G44" s="304"/>
      <c r="H44" s="304"/>
      <c r="I44" s="304"/>
    </row>
    <row r="45" spans="1:9" ht="14.25" x14ac:dyDescent="0.2">
      <c r="A45" s="53"/>
      <c r="B45" s="94" t="s">
        <v>106</v>
      </c>
      <c r="C45" s="53"/>
      <c r="D45" s="53"/>
      <c r="E45" s="304"/>
      <c r="F45" s="304"/>
      <c r="G45" s="304"/>
      <c r="H45" s="304"/>
      <c r="I45" s="304"/>
    </row>
    <row r="46" spans="1:9" ht="14.25" x14ac:dyDescent="0.2">
      <c r="A46" s="53"/>
      <c r="B46" s="94" t="s">
        <v>107</v>
      </c>
      <c r="C46" s="53"/>
      <c r="D46" s="53"/>
      <c r="E46" s="95"/>
      <c r="F46" s="95"/>
      <c r="G46" s="95"/>
      <c r="H46" s="95"/>
      <c r="I46" s="95"/>
    </row>
    <row r="47" spans="1:9" ht="14.25" x14ac:dyDescent="0.2">
      <c r="A47" s="53"/>
      <c r="B47" s="94" t="s">
        <v>118</v>
      </c>
      <c r="C47" s="96"/>
      <c r="D47" s="96"/>
      <c r="E47" s="97"/>
      <c r="F47" s="97"/>
      <c r="G47" s="97"/>
      <c r="H47" s="97"/>
      <c r="I47" s="97"/>
    </row>
    <row r="48" spans="1:9" ht="53.25" customHeight="1" x14ac:dyDescent="0.2">
      <c r="B48" s="284"/>
      <c r="C48" s="278"/>
      <c r="D48" s="278"/>
      <c r="E48" s="278"/>
      <c r="F48" s="278"/>
      <c r="G48" s="278"/>
      <c r="H48" s="278"/>
      <c r="I48" s="278"/>
    </row>
    <row r="52" spans="6:7" ht="15.75" customHeight="1" x14ac:dyDescent="0.2">
      <c r="F52" s="62"/>
      <c r="G52" s="62"/>
    </row>
    <row r="53" spans="6:7" ht="15.75" customHeight="1" x14ac:dyDescent="0.2">
      <c r="F53" s="62"/>
      <c r="G53" s="62"/>
    </row>
    <row r="54" spans="6:7" ht="15.75" customHeight="1" x14ac:dyDescent="0.2">
      <c r="F54" s="62"/>
      <c r="G54" s="62"/>
    </row>
    <row r="57" spans="6:7" ht="15.75" customHeight="1" x14ac:dyDescent="0.2">
      <c r="F57" s="62"/>
      <c r="G57" s="62"/>
    </row>
    <row r="59" spans="6:7" ht="15.75" customHeight="1" x14ac:dyDescent="0.2">
      <c r="F59" s="62"/>
      <c r="G59" s="62"/>
    </row>
  </sheetData>
  <mergeCells count="21">
    <mergeCell ref="E43:I43"/>
    <mergeCell ref="E44:I45"/>
    <mergeCell ref="B48:I48"/>
    <mergeCell ref="C28:D28"/>
    <mergeCell ref="C29:D29"/>
    <mergeCell ref="C30:D30"/>
    <mergeCell ref="C32:D32"/>
    <mergeCell ref="C33:D33"/>
    <mergeCell ref="D41:F41"/>
    <mergeCell ref="C27:D27"/>
    <mergeCell ref="E3:I3"/>
    <mergeCell ref="B4:D6"/>
    <mergeCell ref="E4:I4"/>
    <mergeCell ref="E5:I5"/>
    <mergeCell ref="E6:I6"/>
    <mergeCell ref="B9:I9"/>
    <mergeCell ref="B18:E18"/>
    <mergeCell ref="B19:E19"/>
    <mergeCell ref="B20:E20"/>
    <mergeCell ref="B23:E23"/>
    <mergeCell ref="B24:I24"/>
  </mergeCells>
  <conditionalFormatting sqref="B26">
    <cfRule type="notContainsBlanks" dxfId="2" priority="1">
      <formula>LEN(TRIM(B26))&gt;0</formula>
    </cfRule>
  </conditionalFormatting>
  <hyperlinks>
    <hyperlink ref="B12" r:id="rId1" xr:uid="{08650CBF-8364-4B04-9A16-256E162B0078}"/>
  </hyperlinks>
  <printOptions horizontalCentered="1" verticalCentered="1"/>
  <pageMargins left="0.23622047244094491" right="0.23622047244094491" top="0.5" bottom="0.48" header="0.31496062992125984" footer="0.31496062992125984"/>
  <pageSetup paperSize="9" scale="81" orientation="portrait" r:id="rId2"/>
  <drawing r:id="rId3"/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1D7C5E-81BB-44E5-B4CD-0EBC5A76C048}">
  <sheetPr codeName="Sheet2">
    <tabColor theme="9" tint="-0.249977111117893"/>
  </sheetPr>
  <dimension ref="A1:K92"/>
  <sheetViews>
    <sheetView showGridLines="0" zoomScale="170" zoomScaleNormal="170" workbookViewId="0">
      <pane ySplit="4" topLeftCell="A5" activePane="bottomLeft" state="frozen"/>
      <selection pane="bottomLeft" activeCell="C32" sqref="C32"/>
    </sheetView>
  </sheetViews>
  <sheetFormatPr defaultColWidth="8.85546875" defaultRowHeight="15" x14ac:dyDescent="0.25"/>
  <cols>
    <col min="1" max="1" width="11.85546875" bestFit="1" customWidth="1"/>
    <col min="2" max="2" width="13.140625" customWidth="1"/>
    <col min="3" max="3" width="13" customWidth="1"/>
    <col min="4" max="4" width="12.140625" customWidth="1"/>
    <col min="5" max="5" width="12.85546875" customWidth="1"/>
    <col min="6" max="7" width="12.140625" customWidth="1"/>
    <col min="8" max="8" width="11.42578125" customWidth="1"/>
    <col min="9" max="9" width="47.85546875" customWidth="1"/>
    <col min="10" max="10" width="43.42578125" bestFit="1" customWidth="1"/>
  </cols>
  <sheetData>
    <row r="1" spans="1:10" ht="15" customHeight="1" x14ac:dyDescent="0.25">
      <c r="C1" s="316" t="s">
        <v>50</v>
      </c>
      <c r="D1" s="316"/>
      <c r="E1" s="316"/>
      <c r="F1" s="316"/>
    </row>
    <row r="2" spans="1:10" ht="15" customHeight="1" x14ac:dyDescent="0.25">
      <c r="C2" s="317" t="s">
        <v>49</v>
      </c>
      <c r="D2" s="317"/>
      <c r="I2" s="3"/>
      <c r="J2" s="5"/>
    </row>
    <row r="4" spans="1:10" ht="30" x14ac:dyDescent="0.25">
      <c r="A4" s="22" t="s">
        <v>0</v>
      </c>
      <c r="B4" s="22" t="s">
        <v>10</v>
      </c>
      <c r="C4" s="22" t="s">
        <v>11</v>
      </c>
      <c r="D4" s="22" t="s">
        <v>12</v>
      </c>
      <c r="E4" s="23" t="s">
        <v>13</v>
      </c>
      <c r="F4" s="22" t="s">
        <v>14</v>
      </c>
      <c r="G4" s="22" t="s">
        <v>15</v>
      </c>
      <c r="H4" s="23" t="s">
        <v>13</v>
      </c>
      <c r="I4" s="22" t="s">
        <v>16</v>
      </c>
      <c r="J4" s="16" t="s">
        <v>17</v>
      </c>
    </row>
    <row r="5" spans="1:10" x14ac:dyDescent="0.25">
      <c r="A5" s="10">
        <f>Services!I3</f>
        <v>0</v>
      </c>
      <c r="B5" s="11">
        <f>Services!H62</f>
        <v>440</v>
      </c>
      <c r="C5" s="11" t="e">
        <f>SUM(Services!K62:Q62)</f>
        <v>#REF!</v>
      </c>
      <c r="D5" s="11" t="e">
        <f t="shared" ref="D5:D10" si="0">B5-C5</f>
        <v>#REF!</v>
      </c>
      <c r="E5" s="21" t="e">
        <f t="shared" ref="E5:E10" si="1">1-C5/B5</f>
        <v>#REF!</v>
      </c>
      <c r="F5" s="11" t="e">
        <f t="shared" ref="F5:F10" si="2">D5*0.325</f>
        <v>#REF!</v>
      </c>
      <c r="G5" s="11" t="e">
        <f t="shared" ref="G5:G10" si="3">D5-F5</f>
        <v>#REF!</v>
      </c>
      <c r="H5" s="21" t="e">
        <f t="shared" ref="H5:H10" si="4">G5/B5</f>
        <v>#REF!</v>
      </c>
      <c r="I5" s="12" t="s">
        <v>51</v>
      </c>
      <c r="J5" s="6"/>
    </row>
    <row r="6" spans="1:10" x14ac:dyDescent="0.25">
      <c r="A6" s="10">
        <f>Services!AS3</f>
        <v>0</v>
      </c>
      <c r="B6" s="11">
        <f>Services!AR62</f>
        <v>0</v>
      </c>
      <c r="C6" s="11">
        <f>SUM(Services!AU62:BA62)</f>
        <v>0</v>
      </c>
      <c r="D6" s="11">
        <f t="shared" si="0"/>
        <v>0</v>
      </c>
      <c r="E6" s="21" t="e">
        <f t="shared" si="1"/>
        <v>#DIV/0!</v>
      </c>
      <c r="F6" s="11">
        <f t="shared" si="2"/>
        <v>0</v>
      </c>
      <c r="G6" s="11">
        <f t="shared" si="3"/>
        <v>0</v>
      </c>
      <c r="H6" s="21" t="e">
        <f t="shared" si="4"/>
        <v>#DIV/0!</v>
      </c>
      <c r="I6" s="12"/>
      <c r="J6" s="6"/>
    </row>
    <row r="7" spans="1:10" x14ac:dyDescent="0.25">
      <c r="A7" s="10">
        <f>Services!BE3</f>
        <v>0</v>
      </c>
      <c r="B7" s="11">
        <f>Services!BD62</f>
        <v>0</v>
      </c>
      <c r="C7" s="11">
        <f>SUM(Services!BG62:BM62)</f>
        <v>0</v>
      </c>
      <c r="D7" s="11">
        <f t="shared" si="0"/>
        <v>0</v>
      </c>
      <c r="E7" s="21" t="e">
        <f t="shared" si="1"/>
        <v>#DIV/0!</v>
      </c>
      <c r="F7" s="11">
        <f t="shared" si="2"/>
        <v>0</v>
      </c>
      <c r="G7" s="11">
        <f t="shared" si="3"/>
        <v>0</v>
      </c>
      <c r="H7" s="21" t="e">
        <f t="shared" si="4"/>
        <v>#DIV/0!</v>
      </c>
      <c r="I7" s="12"/>
      <c r="J7" s="6"/>
    </row>
    <row r="8" spans="1:10" x14ac:dyDescent="0.25">
      <c r="A8" s="10">
        <f>Services!BQ3</f>
        <v>0</v>
      </c>
      <c r="B8" s="11">
        <f>Services!BP62</f>
        <v>0</v>
      </c>
      <c r="C8" s="11">
        <f>SUM(Services!BS62:BY62)</f>
        <v>0</v>
      </c>
      <c r="D8" s="11">
        <f t="shared" si="0"/>
        <v>0</v>
      </c>
      <c r="E8" s="21" t="e">
        <f t="shared" si="1"/>
        <v>#DIV/0!</v>
      </c>
      <c r="F8" s="11">
        <f t="shared" si="2"/>
        <v>0</v>
      </c>
      <c r="G8" s="11">
        <f t="shared" si="3"/>
        <v>0</v>
      </c>
      <c r="H8" s="21" t="e">
        <f t="shared" si="4"/>
        <v>#DIV/0!</v>
      </c>
      <c r="I8" s="12" t="s">
        <v>54</v>
      </c>
      <c r="J8" s="6"/>
    </row>
    <row r="9" spans="1:10" x14ac:dyDescent="0.25">
      <c r="A9" s="10">
        <f>Services!CC3</f>
        <v>0</v>
      </c>
      <c r="B9" s="11">
        <f>Services!CB62</f>
        <v>0</v>
      </c>
      <c r="C9" s="11">
        <f>SUM(Services!CE62:CK62)</f>
        <v>0</v>
      </c>
      <c r="D9" s="11">
        <f t="shared" si="0"/>
        <v>0</v>
      </c>
      <c r="E9" s="21" t="e">
        <f t="shared" si="1"/>
        <v>#DIV/0!</v>
      </c>
      <c r="F9" s="11">
        <f t="shared" si="2"/>
        <v>0</v>
      </c>
      <c r="G9" s="11">
        <f t="shared" si="3"/>
        <v>0</v>
      </c>
      <c r="H9" s="21" t="e">
        <f t="shared" si="4"/>
        <v>#DIV/0!</v>
      </c>
      <c r="I9" s="12" t="s">
        <v>55</v>
      </c>
      <c r="J9" s="6"/>
    </row>
    <row r="10" spans="1:10" x14ac:dyDescent="0.25">
      <c r="A10" s="10">
        <f>Services!CO3</f>
        <v>0</v>
      </c>
      <c r="B10" s="11">
        <f>Services!CN62</f>
        <v>0</v>
      </c>
      <c r="C10" s="11">
        <f>SUM(Services!CQ62:CW62)</f>
        <v>0</v>
      </c>
      <c r="D10" s="11">
        <f t="shared" si="0"/>
        <v>0</v>
      </c>
      <c r="E10" s="21" t="e">
        <f t="shared" si="1"/>
        <v>#DIV/0!</v>
      </c>
      <c r="F10" s="11">
        <f t="shared" si="2"/>
        <v>0</v>
      </c>
      <c r="G10" s="11">
        <f t="shared" si="3"/>
        <v>0</v>
      </c>
      <c r="H10" s="21" t="e">
        <f t="shared" si="4"/>
        <v>#DIV/0!</v>
      </c>
      <c r="I10" s="12" t="s">
        <v>57</v>
      </c>
      <c r="J10" s="6"/>
    </row>
    <row r="11" spans="1:10" x14ac:dyDescent="0.25">
      <c r="A11" s="10">
        <f>Services!DA3</f>
        <v>0</v>
      </c>
      <c r="B11" s="11">
        <f>Services!CZ62</f>
        <v>0</v>
      </c>
      <c r="C11" s="11">
        <f>SUM(Services!DB62:DH62)</f>
        <v>0</v>
      </c>
      <c r="D11" s="11">
        <f t="shared" ref="D11:D12" si="5">B11-C11</f>
        <v>0</v>
      </c>
      <c r="E11" s="21" t="e">
        <f t="shared" ref="E11:E12" si="6">1-C11/B11</f>
        <v>#DIV/0!</v>
      </c>
      <c r="F11" s="11">
        <f t="shared" ref="F11:F12" si="7">D11*0.325</f>
        <v>0</v>
      </c>
      <c r="G11" s="11">
        <f t="shared" ref="G11:G12" si="8">D11-F11</f>
        <v>0</v>
      </c>
      <c r="H11" s="21" t="e">
        <f t="shared" ref="H11:H12" si="9">G11/B11</f>
        <v>#DIV/0!</v>
      </c>
      <c r="I11" s="12"/>
      <c r="J11" s="6"/>
    </row>
    <row r="12" spans="1:10" x14ac:dyDescent="0.25">
      <c r="A12" s="10">
        <f>Services!DL3</f>
        <v>0</v>
      </c>
      <c r="B12" s="11">
        <f>Services!DK62</f>
        <v>0</v>
      </c>
      <c r="C12" s="11">
        <f>SUM(Services!DM62:DR62)</f>
        <v>0</v>
      </c>
      <c r="D12" s="11">
        <f t="shared" si="5"/>
        <v>0</v>
      </c>
      <c r="E12" s="21" t="e">
        <f t="shared" si="6"/>
        <v>#DIV/0!</v>
      </c>
      <c r="F12" s="11">
        <f t="shared" si="7"/>
        <v>0</v>
      </c>
      <c r="G12" s="11">
        <f t="shared" si="8"/>
        <v>0</v>
      </c>
      <c r="H12" s="21" t="e">
        <f t="shared" si="9"/>
        <v>#DIV/0!</v>
      </c>
      <c r="I12" s="12"/>
      <c r="J12" s="6"/>
    </row>
    <row r="13" spans="1:10" x14ac:dyDescent="0.25">
      <c r="A13" s="10">
        <f>Services!DV3</f>
        <v>0</v>
      </c>
      <c r="B13" s="11">
        <f>Services!DU62</f>
        <v>0</v>
      </c>
      <c r="C13" s="11">
        <f>SUM(Services!DW62:EB62)</f>
        <v>0</v>
      </c>
      <c r="D13" s="11">
        <f t="shared" ref="D13" si="10">B13-C13</f>
        <v>0</v>
      </c>
      <c r="E13" s="21" t="e">
        <f t="shared" ref="E13" si="11">1-C13/B13</f>
        <v>#DIV/0!</v>
      </c>
      <c r="F13" s="11">
        <f t="shared" ref="F13" si="12">D13*0.325</f>
        <v>0</v>
      </c>
      <c r="G13" s="11">
        <f t="shared" ref="G13" si="13">D13-F13</f>
        <v>0</v>
      </c>
      <c r="H13" s="21" t="e">
        <f t="shared" ref="H13" si="14">G13/B13</f>
        <v>#DIV/0!</v>
      </c>
      <c r="I13" s="12"/>
      <c r="J13" s="6"/>
    </row>
    <row r="14" spans="1:10" x14ac:dyDescent="0.25">
      <c r="A14" s="10">
        <f>Services!EF3</f>
        <v>0</v>
      </c>
      <c r="B14" s="11">
        <f>Services!EE62</f>
        <v>0</v>
      </c>
      <c r="C14" s="11">
        <f>SUM(Services!EG62:EL62)</f>
        <v>0</v>
      </c>
      <c r="D14" s="11">
        <f t="shared" ref="D14" si="15">B14-C14</f>
        <v>0</v>
      </c>
      <c r="E14" s="21" t="e">
        <f t="shared" ref="E14" si="16">1-C14/B14</f>
        <v>#DIV/0!</v>
      </c>
      <c r="F14" s="11">
        <f t="shared" ref="F14" si="17">D14*0.325</f>
        <v>0</v>
      </c>
      <c r="G14" s="11">
        <f>D14-F14</f>
        <v>0</v>
      </c>
      <c r="H14" s="21" t="e">
        <f t="shared" ref="H14" si="18">G14/B14</f>
        <v>#DIV/0!</v>
      </c>
      <c r="I14" s="12" t="s">
        <v>58</v>
      </c>
      <c r="J14" s="6"/>
    </row>
    <row r="15" spans="1:10" x14ac:dyDescent="0.25">
      <c r="A15" s="10">
        <f>Services!EP3</f>
        <v>0</v>
      </c>
      <c r="B15" s="11">
        <f>Services!EO62</f>
        <v>0</v>
      </c>
      <c r="C15" s="11">
        <f>SUM(Services!EQ62:EV62)</f>
        <v>0</v>
      </c>
      <c r="D15" s="11">
        <f t="shared" ref="D15" si="19">B15-C15</f>
        <v>0</v>
      </c>
      <c r="E15" s="21" t="e">
        <f t="shared" ref="E15:E20" si="20">1-C15/B15</f>
        <v>#DIV/0!</v>
      </c>
      <c r="F15" s="11">
        <f t="shared" ref="F15" si="21">D15*0.325</f>
        <v>0</v>
      </c>
      <c r="G15" s="11">
        <f t="shared" ref="G15" si="22">D15-F15</f>
        <v>0</v>
      </c>
      <c r="H15" s="21" t="e">
        <f t="shared" ref="H15:H20" si="23">G15/B15</f>
        <v>#DIV/0!</v>
      </c>
      <c r="I15" s="12" t="s">
        <v>59</v>
      </c>
      <c r="J15" s="6"/>
    </row>
    <row r="16" spans="1:10" x14ac:dyDescent="0.25">
      <c r="A16" s="10">
        <f>Services!EZ3</f>
        <v>0</v>
      </c>
      <c r="B16" s="11">
        <f>Services!EY62</f>
        <v>0</v>
      </c>
      <c r="C16" s="11">
        <f>SUM(Services!FA62:FG62)</f>
        <v>0</v>
      </c>
      <c r="D16" s="11">
        <f t="shared" ref="D16" si="24">B16-C16</f>
        <v>0</v>
      </c>
      <c r="E16" s="21" t="e">
        <f t="shared" si="20"/>
        <v>#DIV/0!</v>
      </c>
      <c r="F16" s="11">
        <f t="shared" ref="F16" si="25">D16*0.325</f>
        <v>0</v>
      </c>
      <c r="G16" s="11">
        <f t="shared" ref="G16" si="26">D16-F16</f>
        <v>0</v>
      </c>
      <c r="H16" s="21" t="e">
        <f t="shared" si="23"/>
        <v>#DIV/0!</v>
      </c>
      <c r="I16" s="12" t="s">
        <v>60</v>
      </c>
      <c r="J16" s="6"/>
    </row>
    <row r="17" spans="1:10" x14ac:dyDescent="0.25">
      <c r="A17" s="10">
        <f>Services!FK3</f>
        <v>0</v>
      </c>
      <c r="B17" s="11">
        <f>Services!FJ62</f>
        <v>0</v>
      </c>
      <c r="C17" s="11">
        <f>SUM(Services!FL62:FS62)</f>
        <v>0</v>
      </c>
      <c r="D17" s="11">
        <f t="shared" ref="D17" si="27">B17-C17</f>
        <v>0</v>
      </c>
      <c r="E17" s="21" t="e">
        <f t="shared" si="20"/>
        <v>#DIV/0!</v>
      </c>
      <c r="F17" s="11">
        <f t="shared" ref="F17" si="28">D17*0.325</f>
        <v>0</v>
      </c>
      <c r="G17" s="11">
        <f t="shared" ref="G17" si="29">D17-F17</f>
        <v>0</v>
      </c>
      <c r="H17" s="21" t="e">
        <f t="shared" si="23"/>
        <v>#DIV/0!</v>
      </c>
      <c r="I17" s="12" t="s">
        <v>63</v>
      </c>
      <c r="J17" s="6"/>
    </row>
    <row r="18" spans="1:10" x14ac:dyDescent="0.25">
      <c r="A18" s="10">
        <f>Services!FW3</f>
        <v>0</v>
      </c>
      <c r="B18" s="11">
        <f>Services!FV62</f>
        <v>0</v>
      </c>
      <c r="C18" s="11">
        <f>SUM(Services!FX62:GD62)</f>
        <v>0</v>
      </c>
      <c r="D18" s="11">
        <f t="shared" ref="D18" si="30">B18-C18</f>
        <v>0</v>
      </c>
      <c r="E18" s="21" t="e">
        <f t="shared" si="20"/>
        <v>#DIV/0!</v>
      </c>
      <c r="F18" s="11">
        <f t="shared" ref="F18" si="31">D18*0.325</f>
        <v>0</v>
      </c>
      <c r="G18" s="11">
        <f t="shared" ref="G18" si="32">D18-F18</f>
        <v>0</v>
      </c>
      <c r="H18" s="21" t="e">
        <f t="shared" si="23"/>
        <v>#DIV/0!</v>
      </c>
      <c r="I18" s="12" t="s">
        <v>64</v>
      </c>
      <c r="J18" s="6"/>
    </row>
    <row r="19" spans="1:10" x14ac:dyDescent="0.25">
      <c r="A19" s="10">
        <f>Services!GH3</f>
        <v>0</v>
      </c>
      <c r="B19" s="11">
        <f>Services!GG62</f>
        <v>0</v>
      </c>
      <c r="C19" s="11">
        <f>SUM(Services!GI62:GP62)</f>
        <v>0</v>
      </c>
      <c r="D19" s="11">
        <f t="shared" ref="D19" si="33">B19-C19</f>
        <v>0</v>
      </c>
      <c r="E19" s="21" t="e">
        <f t="shared" si="20"/>
        <v>#DIV/0!</v>
      </c>
      <c r="F19" s="11">
        <f t="shared" ref="F19" si="34">D19*0.325</f>
        <v>0</v>
      </c>
      <c r="G19" s="11">
        <f t="shared" ref="G19" si="35">D19-F19</f>
        <v>0</v>
      </c>
      <c r="H19" s="21" t="e">
        <f t="shared" si="23"/>
        <v>#DIV/0!</v>
      </c>
      <c r="I19" s="12">
        <v>0</v>
      </c>
      <c r="J19" s="6"/>
    </row>
    <row r="20" spans="1:10" x14ac:dyDescent="0.25">
      <c r="A20" s="10">
        <f>Services!GT3</f>
        <v>0</v>
      </c>
      <c r="B20" s="11">
        <f>Services!GS62</f>
        <v>0</v>
      </c>
      <c r="C20" s="11">
        <f>SUM(Services!GU62:HB62)</f>
        <v>0</v>
      </c>
      <c r="D20" s="11">
        <f t="shared" ref="D20" si="36">B20-C20</f>
        <v>0</v>
      </c>
      <c r="E20" s="21" t="e">
        <f t="shared" si="20"/>
        <v>#DIV/0!</v>
      </c>
      <c r="F20" s="11">
        <f t="shared" ref="F20" si="37">D20*0.325</f>
        <v>0</v>
      </c>
      <c r="G20" s="11">
        <f t="shared" ref="G20" si="38">D20-F20</f>
        <v>0</v>
      </c>
      <c r="H20" s="21" t="e">
        <f t="shared" si="23"/>
        <v>#DIV/0!</v>
      </c>
      <c r="I20" s="6" t="s">
        <v>68</v>
      </c>
      <c r="J20" s="6"/>
    </row>
    <row r="21" spans="1:10" x14ac:dyDescent="0.25">
      <c r="A21" s="10">
        <f>Services!HF3</f>
        <v>0</v>
      </c>
      <c r="B21" s="11">
        <f>Services!HE62</f>
        <v>0</v>
      </c>
      <c r="C21" s="11">
        <f>SUM(Services!HG62:HN62)</f>
        <v>0</v>
      </c>
      <c r="D21" s="11">
        <f t="shared" ref="D21" si="39">B21-C21</f>
        <v>0</v>
      </c>
      <c r="E21" s="21" t="e">
        <f t="shared" ref="E21" si="40">1-C21/B21</f>
        <v>#DIV/0!</v>
      </c>
      <c r="F21" s="11">
        <f t="shared" ref="F21" si="41">D21*0.325</f>
        <v>0</v>
      </c>
      <c r="G21" s="11">
        <f t="shared" ref="G21" si="42">D21-F21</f>
        <v>0</v>
      </c>
      <c r="H21" s="21" t="e">
        <f t="shared" ref="H21" si="43">G21/B21</f>
        <v>#DIV/0!</v>
      </c>
      <c r="I21" s="14" t="s">
        <v>69</v>
      </c>
      <c r="J21" s="6"/>
    </row>
    <row r="22" spans="1:10" x14ac:dyDescent="0.25">
      <c r="A22" s="10">
        <f>Services!HR3</f>
        <v>0</v>
      </c>
      <c r="B22" s="11">
        <f>Services!HQ62</f>
        <v>0</v>
      </c>
      <c r="C22" s="11">
        <f>SUM(Services!HS62:HY62)</f>
        <v>0</v>
      </c>
      <c r="D22" s="11">
        <f t="shared" ref="D22" si="44">B22-C22</f>
        <v>0</v>
      </c>
      <c r="E22" s="21" t="e">
        <f t="shared" ref="E22" si="45">1-C22/B22</f>
        <v>#DIV/0!</v>
      </c>
      <c r="F22" s="11">
        <f t="shared" ref="F22" si="46">D22*0.325</f>
        <v>0</v>
      </c>
      <c r="G22" s="11">
        <f t="shared" ref="G22" si="47">D22-F22</f>
        <v>0</v>
      </c>
      <c r="H22" s="21" t="e">
        <f t="shared" ref="H22" si="48">G22/B22</f>
        <v>#DIV/0!</v>
      </c>
      <c r="I22" s="6"/>
      <c r="J22" s="6"/>
    </row>
    <row r="23" spans="1:10" x14ac:dyDescent="0.25">
      <c r="A23" s="10">
        <f>Services!IC3</f>
        <v>0</v>
      </c>
      <c r="B23" s="11">
        <f>Services!IB62</f>
        <v>0</v>
      </c>
      <c r="C23" s="11">
        <f>SUM(Services!ID62:IJ62)</f>
        <v>0</v>
      </c>
      <c r="D23" s="11">
        <f t="shared" ref="D23" si="49">B23-C23</f>
        <v>0</v>
      </c>
      <c r="E23" s="21" t="e">
        <f t="shared" ref="E23" si="50">1-C23/B23</f>
        <v>#DIV/0!</v>
      </c>
      <c r="F23" s="11">
        <f t="shared" ref="F23" si="51">D23*0.325</f>
        <v>0</v>
      </c>
      <c r="G23" s="11">
        <f t="shared" ref="G23" si="52">D23-F23</f>
        <v>0</v>
      </c>
      <c r="H23" s="21" t="e">
        <f t="shared" ref="H23" si="53">G23/B23</f>
        <v>#DIV/0!</v>
      </c>
      <c r="I23" s="6" t="s">
        <v>70</v>
      </c>
      <c r="J23" s="6"/>
    </row>
    <row r="24" spans="1:10" x14ac:dyDescent="0.25">
      <c r="A24" s="10">
        <f>Services!IN3</f>
        <v>0</v>
      </c>
      <c r="B24" s="11">
        <f>Services!IM62</f>
        <v>0</v>
      </c>
      <c r="C24" s="11">
        <f>SUM(Services!IO62:IV62)</f>
        <v>0</v>
      </c>
      <c r="D24" s="11">
        <f t="shared" ref="D24" si="54">B24-C24</f>
        <v>0</v>
      </c>
      <c r="E24" s="21" t="e">
        <f t="shared" ref="E24" si="55">1-C24/B24</f>
        <v>#DIV/0!</v>
      </c>
      <c r="F24" s="11">
        <f t="shared" ref="F24" si="56">D24*0.325</f>
        <v>0</v>
      </c>
      <c r="G24" s="11">
        <f t="shared" ref="G24" si="57">D24-F24</f>
        <v>0</v>
      </c>
      <c r="H24" s="21" t="e">
        <f t="shared" ref="H24" si="58">G24/B24</f>
        <v>#DIV/0!</v>
      </c>
      <c r="I24" s="6" t="s">
        <v>71</v>
      </c>
      <c r="J24" s="6"/>
    </row>
    <row r="25" spans="1:10" x14ac:dyDescent="0.25">
      <c r="A25" s="10">
        <f>Services!IZ3</f>
        <v>0</v>
      </c>
      <c r="B25" s="11">
        <f>Services!IY62</f>
        <v>0</v>
      </c>
      <c r="C25" s="11">
        <f>SUM(Services!JA62:JH62)</f>
        <v>0</v>
      </c>
      <c r="D25" s="11">
        <f t="shared" ref="D25" si="59">B25-C25</f>
        <v>0</v>
      </c>
      <c r="E25" s="21" t="e">
        <f t="shared" ref="E25" si="60">1-C25/B25</f>
        <v>#DIV/0!</v>
      </c>
      <c r="F25" s="11">
        <f t="shared" ref="F25" si="61">D25*0.325</f>
        <v>0</v>
      </c>
      <c r="G25" s="11">
        <f t="shared" ref="G25" si="62">D25-F25</f>
        <v>0</v>
      </c>
      <c r="H25" s="21" t="e">
        <f t="shared" ref="H25" si="63">G25/B25</f>
        <v>#DIV/0!</v>
      </c>
      <c r="I25" s="14"/>
      <c r="J25" s="6"/>
    </row>
    <row r="26" spans="1:10" x14ac:dyDescent="0.25">
      <c r="A26" s="30">
        <f>Services!JL3</f>
        <v>0</v>
      </c>
      <c r="B26" s="31">
        <f>Services!JK62</f>
        <v>0</v>
      </c>
      <c r="C26" s="31">
        <f>SUM(Services!JM62:JT62)</f>
        <v>0</v>
      </c>
      <c r="D26" s="11">
        <f t="shared" ref="D26" si="64">B26-C26</f>
        <v>0</v>
      </c>
      <c r="E26" s="21" t="e">
        <f t="shared" ref="E26" si="65">1-C26/B26</f>
        <v>#DIV/0!</v>
      </c>
      <c r="F26" s="11">
        <f t="shared" ref="F26" si="66">D26*0.325</f>
        <v>0</v>
      </c>
      <c r="G26" s="11">
        <f t="shared" ref="G26" si="67">D26-F26</f>
        <v>0</v>
      </c>
      <c r="H26" s="21" t="e">
        <f t="shared" ref="H26" si="68">G26/B26</f>
        <v>#DIV/0!</v>
      </c>
      <c r="I26" s="7" t="s">
        <v>74</v>
      </c>
      <c r="J26" s="6"/>
    </row>
    <row r="27" spans="1:10" x14ac:dyDescent="0.25">
      <c r="A27" s="10">
        <f>Services!JX3</f>
        <v>0</v>
      </c>
      <c r="B27" s="11">
        <f>Services!JW62</f>
        <v>0</v>
      </c>
      <c r="C27" s="11">
        <f>SUM(Services!JY62:KF62)</f>
        <v>0</v>
      </c>
      <c r="D27" s="11">
        <f t="shared" ref="D27" si="69">B27-C27</f>
        <v>0</v>
      </c>
      <c r="E27" s="21" t="e">
        <f t="shared" ref="E27" si="70">1-C27/B27</f>
        <v>#DIV/0!</v>
      </c>
      <c r="F27" s="11">
        <f t="shared" ref="F27" si="71">D27*0.325</f>
        <v>0</v>
      </c>
      <c r="G27" s="11">
        <f t="shared" ref="G27" si="72">D27-F27</f>
        <v>0</v>
      </c>
      <c r="H27" s="21" t="e">
        <f t="shared" ref="H27" si="73">G27/B27</f>
        <v>#DIV/0!</v>
      </c>
      <c r="I27" s="6" t="s">
        <v>75</v>
      </c>
      <c r="J27" s="6"/>
    </row>
    <row r="28" spans="1:10" x14ac:dyDescent="0.25">
      <c r="A28" s="10">
        <f>Services!KJ3</f>
        <v>0</v>
      </c>
      <c r="B28" s="11">
        <f>Services!KI62</f>
        <v>0</v>
      </c>
      <c r="C28" s="11">
        <f>SUM(Services!KK62:KR62)</f>
        <v>0</v>
      </c>
      <c r="D28" s="11">
        <f t="shared" ref="D28" si="74">B28-C28</f>
        <v>0</v>
      </c>
      <c r="E28" s="21" t="e">
        <f t="shared" ref="E28" si="75">1-C28/B28</f>
        <v>#DIV/0!</v>
      </c>
      <c r="F28" s="11">
        <f t="shared" ref="F28" si="76">D28*0.325</f>
        <v>0</v>
      </c>
      <c r="G28" s="11">
        <f t="shared" ref="G28" si="77">D28-F28</f>
        <v>0</v>
      </c>
      <c r="H28" s="21" t="e">
        <f t="shared" ref="H28" si="78">G28/B28</f>
        <v>#DIV/0!</v>
      </c>
      <c r="I28" s="6" t="s">
        <v>1</v>
      </c>
      <c r="J28" s="6"/>
    </row>
    <row r="29" spans="1:10" x14ac:dyDescent="0.25">
      <c r="A29" s="10">
        <f>Services!KV3</f>
        <v>0</v>
      </c>
      <c r="B29" s="11">
        <f>Services!KU62</f>
        <v>0</v>
      </c>
      <c r="C29" s="11">
        <f>SUM(Services!KW62:LD62)</f>
        <v>0</v>
      </c>
      <c r="D29" s="11">
        <f t="shared" ref="D29" si="79">B29-C29</f>
        <v>0</v>
      </c>
      <c r="E29" s="21" t="e">
        <f t="shared" ref="E29" si="80">1-C29/B29</f>
        <v>#DIV/0!</v>
      </c>
      <c r="F29" s="11">
        <f t="shared" ref="F29" si="81">D29*0.325</f>
        <v>0</v>
      </c>
      <c r="G29" s="11">
        <f t="shared" ref="G29" si="82">D29-F29</f>
        <v>0</v>
      </c>
      <c r="H29" s="21" t="e">
        <f t="shared" ref="H29" si="83">G29/B29</f>
        <v>#DIV/0!</v>
      </c>
      <c r="I29" s="6" t="s">
        <v>77</v>
      </c>
      <c r="J29" s="6"/>
    </row>
    <row r="30" spans="1:10" x14ac:dyDescent="0.25">
      <c r="A30" s="10">
        <f>Services!LH3</f>
        <v>0</v>
      </c>
      <c r="B30" s="11">
        <f>Services!LG62</f>
        <v>0</v>
      </c>
      <c r="C30" s="11">
        <f>SUM(Services!LI62:LP62)</f>
        <v>0</v>
      </c>
      <c r="D30" s="11">
        <f t="shared" ref="D30" si="84">B30-C30</f>
        <v>0</v>
      </c>
      <c r="E30" s="21" t="e">
        <f t="shared" ref="E30" si="85">1-C30/B30</f>
        <v>#DIV/0!</v>
      </c>
      <c r="F30" s="11">
        <f t="shared" ref="F30" si="86">D30*0.325</f>
        <v>0</v>
      </c>
      <c r="G30" s="11">
        <f t="shared" ref="G30" si="87">D30-F30</f>
        <v>0</v>
      </c>
      <c r="H30" s="21" t="e">
        <f t="shared" ref="H30" si="88">G30/B30</f>
        <v>#DIV/0!</v>
      </c>
      <c r="I30" s="6"/>
      <c r="J30" s="6"/>
    </row>
    <row r="31" spans="1:10" x14ac:dyDescent="0.25">
      <c r="A31" s="10">
        <f>Services!LT3</f>
        <v>0</v>
      </c>
      <c r="B31" s="11">
        <f>Services!LS62</f>
        <v>0</v>
      </c>
      <c r="C31" s="11">
        <f>SUM(Services!LU62:MA62)</f>
        <v>0</v>
      </c>
      <c r="D31" s="11">
        <f t="shared" ref="D31" si="89">B31-C31</f>
        <v>0</v>
      </c>
      <c r="E31" s="21" t="e">
        <f t="shared" ref="E31" si="90">1-C31/B31</f>
        <v>#DIV/0!</v>
      </c>
      <c r="F31" s="11">
        <f t="shared" ref="F31" si="91">D31*0.325</f>
        <v>0</v>
      </c>
      <c r="G31" s="11">
        <f t="shared" ref="G31" si="92">D31-F31</f>
        <v>0</v>
      </c>
      <c r="H31" s="21" t="e">
        <f t="shared" ref="H31" si="93">G31/B31</f>
        <v>#DIV/0!</v>
      </c>
      <c r="I31" s="6" t="s">
        <v>79</v>
      </c>
      <c r="J31" s="6"/>
    </row>
    <row r="32" spans="1:10" x14ac:dyDescent="0.25">
      <c r="A32" s="10">
        <f>Services!ME3</f>
        <v>0</v>
      </c>
      <c r="B32" s="11">
        <f>Services!MD62</f>
        <v>0</v>
      </c>
      <c r="C32" s="11">
        <f>SUM(Services!MF62:ML62)</f>
        <v>0</v>
      </c>
      <c r="D32" s="11">
        <f t="shared" ref="D32" si="94">B32-C32</f>
        <v>0</v>
      </c>
      <c r="E32" s="21" t="e">
        <f t="shared" ref="E32" si="95">1-C32/B32</f>
        <v>#DIV/0!</v>
      </c>
      <c r="F32" s="11">
        <f t="shared" ref="F32" si="96">D32*0.325</f>
        <v>0</v>
      </c>
      <c r="G32" s="11">
        <f t="shared" ref="G32" si="97">D32-F32</f>
        <v>0</v>
      </c>
      <c r="H32" s="21" t="e">
        <f t="shared" ref="H32" si="98">G32/B32</f>
        <v>#DIV/0!</v>
      </c>
      <c r="I32" s="6" t="s">
        <v>1</v>
      </c>
      <c r="J32" s="6"/>
    </row>
    <row r="33" spans="1:10" x14ac:dyDescent="0.25">
      <c r="A33" s="10">
        <f>Services!MP3</f>
        <v>0</v>
      </c>
      <c r="B33" s="11">
        <f>Services!MO62</f>
        <v>0</v>
      </c>
      <c r="C33" s="11">
        <f>SUM(Services!MQ62:MW62)</f>
        <v>0</v>
      </c>
      <c r="D33" s="11">
        <f t="shared" ref="D33" si="99">B33-C33</f>
        <v>0</v>
      </c>
      <c r="E33" s="21" t="e">
        <f t="shared" ref="E33" si="100">1-C33/B33</f>
        <v>#DIV/0!</v>
      </c>
      <c r="F33" s="11">
        <f t="shared" ref="F33" si="101">D33*0.325</f>
        <v>0</v>
      </c>
      <c r="G33" s="11">
        <f t="shared" ref="G33" si="102">D33-F33</f>
        <v>0</v>
      </c>
      <c r="H33" s="21" t="e">
        <f t="shared" ref="H33" si="103">G33/B33</f>
        <v>#DIV/0!</v>
      </c>
      <c r="I33" s="6" t="s">
        <v>1</v>
      </c>
      <c r="J33" s="32"/>
    </row>
    <row r="34" spans="1:10" x14ac:dyDescent="0.25">
      <c r="A34" s="10"/>
      <c r="B34" s="11"/>
      <c r="C34" s="11"/>
      <c r="D34" s="11"/>
      <c r="E34" s="29"/>
      <c r="F34" s="11"/>
      <c r="G34" s="11"/>
      <c r="H34" s="29"/>
      <c r="I34" s="6"/>
      <c r="J34" s="32"/>
    </row>
    <row r="35" spans="1:10" x14ac:dyDescent="0.25">
      <c r="A35" s="10"/>
      <c r="B35" s="11"/>
      <c r="C35" s="11"/>
      <c r="D35" s="11"/>
      <c r="E35" s="29"/>
      <c r="F35" s="11"/>
      <c r="G35" s="11"/>
      <c r="H35" s="29"/>
      <c r="I35" s="6"/>
      <c r="J35" s="32"/>
    </row>
    <row r="36" spans="1:10" x14ac:dyDescent="0.25">
      <c r="A36" s="10"/>
      <c r="B36" s="11"/>
      <c r="C36" s="11"/>
      <c r="D36" s="11"/>
      <c r="E36" s="29"/>
      <c r="F36" s="11"/>
      <c r="G36" s="11"/>
      <c r="H36" s="29"/>
      <c r="I36" s="6"/>
      <c r="J36" s="6"/>
    </row>
    <row r="37" spans="1:10" x14ac:dyDescent="0.25">
      <c r="A37" s="10"/>
      <c r="B37" s="11"/>
      <c r="C37" s="11"/>
      <c r="D37" s="11"/>
      <c r="E37" s="29"/>
      <c r="F37" s="11"/>
      <c r="G37" s="11"/>
      <c r="H37" s="29"/>
      <c r="I37" s="6"/>
      <c r="J37" s="6"/>
    </row>
    <row r="38" spans="1:10" x14ac:dyDescent="0.25">
      <c r="A38" s="10"/>
      <c r="B38" s="11"/>
      <c r="C38" s="11"/>
      <c r="D38" s="11"/>
      <c r="E38" s="29"/>
      <c r="F38" s="11"/>
      <c r="G38" s="11"/>
      <c r="H38" s="29"/>
      <c r="I38" s="6"/>
      <c r="J38" s="6"/>
    </row>
    <row r="39" spans="1:10" x14ac:dyDescent="0.25">
      <c r="A39" s="10"/>
      <c r="B39" s="11"/>
      <c r="C39" s="11"/>
      <c r="D39" s="11"/>
      <c r="E39" s="29"/>
      <c r="F39" s="11"/>
      <c r="G39" s="11"/>
      <c r="H39" s="29"/>
      <c r="I39" s="6"/>
      <c r="J39" s="32"/>
    </row>
    <row r="40" spans="1:10" x14ac:dyDescent="0.25">
      <c r="A40" s="10"/>
      <c r="B40" s="11"/>
      <c r="C40" s="11"/>
      <c r="D40" s="11"/>
      <c r="E40" s="29"/>
      <c r="F40" s="11"/>
      <c r="G40" s="11"/>
      <c r="H40" s="29"/>
      <c r="I40" s="6"/>
      <c r="J40" s="6"/>
    </row>
    <row r="41" spans="1:10" x14ac:dyDescent="0.25">
      <c r="A41" s="10"/>
      <c r="B41" s="11"/>
      <c r="C41" s="11"/>
      <c r="D41" s="11"/>
      <c r="E41" s="29"/>
      <c r="F41" s="11"/>
      <c r="G41" s="11"/>
      <c r="H41" s="29"/>
      <c r="I41" s="6"/>
      <c r="J41" s="6"/>
    </row>
    <row r="42" spans="1:10" x14ac:dyDescent="0.25">
      <c r="A42" s="10"/>
      <c r="B42" s="11"/>
      <c r="C42" s="11"/>
      <c r="D42" s="11"/>
      <c r="E42" s="29"/>
      <c r="F42" s="11"/>
      <c r="G42" s="11"/>
      <c r="H42" s="29"/>
      <c r="I42" s="6"/>
      <c r="J42" s="33"/>
    </row>
    <row r="43" spans="1:10" x14ac:dyDescent="0.25">
      <c r="A43" s="10"/>
      <c r="B43" s="11"/>
      <c r="C43" s="11"/>
      <c r="D43" s="11"/>
      <c r="E43" s="29"/>
      <c r="F43" s="11"/>
      <c r="G43" s="11"/>
      <c r="H43" s="29"/>
      <c r="I43" s="6"/>
      <c r="J43" s="6"/>
    </row>
    <row r="44" spans="1:10" x14ac:dyDescent="0.25">
      <c r="A44" s="10"/>
      <c r="B44" s="11"/>
      <c r="C44" s="11"/>
      <c r="D44" s="11"/>
      <c r="E44" s="29"/>
      <c r="F44" s="11"/>
      <c r="G44" s="11"/>
      <c r="H44" s="29"/>
      <c r="I44" s="6"/>
      <c r="J44" s="6"/>
    </row>
    <row r="45" spans="1:10" x14ac:dyDescent="0.25">
      <c r="A45" s="10"/>
      <c r="B45" s="11"/>
      <c r="C45" s="11"/>
      <c r="D45" s="11"/>
      <c r="E45" s="29"/>
      <c r="F45" s="11"/>
      <c r="G45" s="11"/>
      <c r="H45" s="29"/>
      <c r="I45" s="6"/>
      <c r="J45" s="6"/>
    </row>
    <row r="46" spans="1:10" x14ac:dyDescent="0.25">
      <c r="A46" s="10"/>
      <c r="B46" s="11"/>
      <c r="C46" s="11"/>
      <c r="D46" s="11"/>
      <c r="E46" s="29"/>
      <c r="F46" s="11"/>
      <c r="G46" s="11"/>
      <c r="H46" s="29"/>
      <c r="I46" s="6"/>
      <c r="J46" s="6"/>
    </row>
    <row r="47" spans="1:10" x14ac:dyDescent="0.25">
      <c r="A47" s="10"/>
      <c r="B47" s="11"/>
      <c r="C47" s="11"/>
      <c r="D47" s="11"/>
      <c r="E47" s="29"/>
      <c r="F47" s="11"/>
      <c r="G47" s="11"/>
      <c r="H47" s="29"/>
      <c r="I47" s="6"/>
      <c r="J47" s="8"/>
    </row>
    <row r="48" spans="1:10" x14ac:dyDescent="0.25">
      <c r="A48" s="10"/>
      <c r="B48" s="11"/>
      <c r="C48" s="11"/>
      <c r="D48" s="11"/>
      <c r="E48" s="29"/>
      <c r="F48" s="11"/>
      <c r="G48" s="11"/>
      <c r="H48" s="29"/>
      <c r="I48" s="6"/>
      <c r="J48" s="6"/>
    </row>
    <row r="49" spans="1:11" x14ac:dyDescent="0.25">
      <c r="A49" s="10"/>
      <c r="B49" s="11"/>
      <c r="C49" s="11"/>
      <c r="D49" s="11"/>
      <c r="E49" s="29"/>
      <c r="F49" s="11"/>
      <c r="G49" s="11"/>
      <c r="H49" s="29"/>
      <c r="I49" s="6"/>
      <c r="J49" s="6"/>
    </row>
    <row r="50" spans="1:11" x14ac:dyDescent="0.25">
      <c r="A50" s="10"/>
      <c r="B50" s="11"/>
      <c r="C50" s="11"/>
      <c r="D50" s="11"/>
      <c r="E50" s="29"/>
      <c r="F50" s="11"/>
      <c r="G50" s="11"/>
      <c r="H50" s="29"/>
      <c r="I50" s="6"/>
      <c r="J50" s="6"/>
    </row>
    <row r="51" spans="1:11" x14ac:dyDescent="0.25">
      <c r="A51" s="10"/>
      <c r="B51" s="11"/>
      <c r="C51" s="11"/>
      <c r="D51" s="11"/>
      <c r="E51" s="29"/>
      <c r="F51" s="11"/>
      <c r="G51" s="11"/>
      <c r="H51" s="29"/>
      <c r="I51" s="6"/>
      <c r="J51" s="6"/>
    </row>
    <row r="52" spans="1:11" x14ac:dyDescent="0.25">
      <c r="A52" s="10"/>
      <c r="B52" s="11"/>
      <c r="C52" s="11"/>
      <c r="D52" s="11"/>
      <c r="E52" s="29"/>
      <c r="F52" s="11"/>
      <c r="G52" s="11"/>
      <c r="H52" s="29"/>
      <c r="I52" s="6"/>
      <c r="J52" s="6"/>
    </row>
    <row r="53" spans="1:11" x14ac:dyDescent="0.25">
      <c r="A53" s="10"/>
      <c r="B53" s="11"/>
      <c r="C53" s="11"/>
      <c r="D53" s="11"/>
      <c r="E53" s="29"/>
      <c r="F53" s="11"/>
      <c r="G53" s="11"/>
      <c r="H53" s="29"/>
      <c r="I53" s="6"/>
      <c r="J53" s="6"/>
    </row>
    <row r="54" spans="1:11" x14ac:dyDescent="0.25">
      <c r="A54" s="10"/>
      <c r="B54" s="11"/>
      <c r="C54" s="11"/>
      <c r="D54" s="11"/>
      <c r="E54" s="34"/>
      <c r="F54" s="11"/>
      <c r="G54" s="11"/>
      <c r="H54" s="34"/>
      <c r="I54" s="6"/>
      <c r="J54" s="6"/>
    </row>
    <row r="55" spans="1:11" x14ac:dyDescent="0.25">
      <c r="A55" s="10"/>
      <c r="B55" s="11"/>
      <c r="C55" s="11"/>
      <c r="D55" s="11"/>
      <c r="E55" s="34"/>
      <c r="F55" s="11"/>
      <c r="G55" s="11"/>
      <c r="H55" s="34"/>
      <c r="I55" s="6"/>
      <c r="J55" s="6"/>
    </row>
    <row r="56" spans="1:11" x14ac:dyDescent="0.25">
      <c r="A56" s="10"/>
      <c r="B56" s="11"/>
      <c r="C56" s="11"/>
      <c r="D56" s="11"/>
      <c r="E56" s="34"/>
      <c r="F56" s="11"/>
      <c r="G56" s="11"/>
      <c r="H56" s="34"/>
      <c r="I56" s="6"/>
      <c r="J56" s="6"/>
    </row>
    <row r="57" spans="1:11" x14ac:dyDescent="0.25">
      <c r="A57" s="10"/>
      <c r="B57" s="11"/>
      <c r="C57" s="11"/>
      <c r="D57" s="11"/>
      <c r="E57" s="34"/>
      <c r="F57" s="11"/>
      <c r="G57" s="11"/>
      <c r="H57" s="34"/>
      <c r="I57" s="6"/>
      <c r="J57" s="6"/>
    </row>
    <row r="58" spans="1:11" x14ac:dyDescent="0.25">
      <c r="A58" s="10"/>
      <c r="B58" s="11"/>
      <c r="C58" s="11"/>
      <c r="D58" s="11"/>
      <c r="E58" s="11"/>
      <c r="F58" s="11"/>
      <c r="G58" s="11"/>
      <c r="H58" s="11"/>
      <c r="I58" s="6"/>
      <c r="J58" s="6"/>
    </row>
    <row r="59" spans="1:11" x14ac:dyDescent="0.25">
      <c r="A59" s="10"/>
      <c r="B59" s="11"/>
      <c r="C59" s="11"/>
      <c r="D59" s="11"/>
      <c r="E59" s="11"/>
      <c r="F59" s="11"/>
      <c r="G59" s="11"/>
      <c r="H59" s="11"/>
      <c r="I59" s="6"/>
      <c r="J59" s="6"/>
    </row>
    <row r="60" spans="1:11" x14ac:dyDescent="0.25">
      <c r="A60" s="10"/>
      <c r="B60" s="11"/>
      <c r="C60" s="11"/>
      <c r="D60" s="11"/>
      <c r="E60" s="11"/>
      <c r="F60" s="11"/>
      <c r="G60" s="11"/>
      <c r="H60" s="11"/>
      <c r="I60" s="6"/>
      <c r="J60" s="6"/>
    </row>
    <row r="61" spans="1:11" x14ac:dyDescent="0.25">
      <c r="A61" s="10"/>
      <c r="B61" s="11"/>
      <c r="C61" s="11"/>
      <c r="D61" s="11"/>
      <c r="E61" s="11"/>
      <c r="F61" s="11"/>
      <c r="G61" s="11"/>
      <c r="H61" s="11"/>
      <c r="I61" s="6"/>
      <c r="J61" s="6"/>
      <c r="K61" s="35"/>
    </row>
    <row r="62" spans="1:11" ht="15.75" thickBot="1" x14ac:dyDescent="0.3">
      <c r="A62" s="10"/>
      <c r="B62" s="11"/>
      <c r="C62" s="11"/>
      <c r="D62" s="11"/>
      <c r="E62" s="13"/>
      <c r="F62" s="13"/>
      <c r="G62" s="13"/>
      <c r="H62" s="13"/>
      <c r="I62" s="9"/>
      <c r="J62" s="9"/>
    </row>
    <row r="63" spans="1:11" ht="15.75" thickBot="1" x14ac:dyDescent="0.3">
      <c r="A63" s="36"/>
      <c r="B63" s="38">
        <f>SUM(B5:B62)</f>
        <v>440</v>
      </c>
      <c r="C63" s="38" t="e">
        <f t="shared" ref="C63:G63" si="104">SUM(C5:C62)</f>
        <v>#REF!</v>
      </c>
      <c r="D63" s="38" t="e">
        <f t="shared" si="104"/>
        <v>#REF!</v>
      </c>
      <c r="E63" s="38"/>
      <c r="F63" s="38" t="e">
        <f t="shared" si="104"/>
        <v>#REF!</v>
      </c>
      <c r="G63" s="38" t="e">
        <f t="shared" si="104"/>
        <v>#REF!</v>
      </c>
      <c r="H63" s="38"/>
      <c r="I63" s="37"/>
      <c r="J63" s="15"/>
    </row>
    <row r="64" spans="1:11" x14ac:dyDescent="0.25">
      <c r="D64" s="3"/>
      <c r="E64" s="3"/>
      <c r="F64" s="3"/>
      <c r="G64" s="3"/>
      <c r="H64" s="3"/>
    </row>
    <row r="65" spans="2:10" x14ac:dyDescent="0.25">
      <c r="G65" s="39"/>
      <c r="H65" s="39"/>
    </row>
    <row r="66" spans="2:10" x14ac:dyDescent="0.25">
      <c r="D66" s="40"/>
      <c r="E66" s="40"/>
      <c r="F66" s="3"/>
      <c r="G66" s="3"/>
      <c r="H66" s="3"/>
    </row>
    <row r="67" spans="2:10" x14ac:dyDescent="0.25">
      <c r="D67" s="3"/>
      <c r="E67" s="3"/>
      <c r="F67" s="3"/>
      <c r="G67" s="3"/>
      <c r="H67" s="3"/>
    </row>
    <row r="68" spans="2:10" x14ac:dyDescent="0.25">
      <c r="D68" s="3"/>
      <c r="E68" s="3"/>
      <c r="F68" s="3"/>
      <c r="G68" s="3"/>
      <c r="H68" s="3"/>
    </row>
    <row r="69" spans="2:10" x14ac:dyDescent="0.25">
      <c r="D69" s="3"/>
      <c r="E69" s="3"/>
      <c r="F69" s="3"/>
      <c r="G69" s="3"/>
      <c r="H69" s="3"/>
    </row>
    <row r="70" spans="2:10" x14ac:dyDescent="0.25">
      <c r="C70" s="3"/>
      <c r="F70" s="3"/>
      <c r="G70" s="3"/>
      <c r="H70" s="3"/>
      <c r="I70" s="3"/>
    </row>
    <row r="71" spans="2:10" x14ac:dyDescent="0.25">
      <c r="C71" s="3"/>
      <c r="F71" s="3"/>
      <c r="G71" s="3"/>
      <c r="H71" s="3"/>
      <c r="I71" s="3"/>
    </row>
    <row r="72" spans="2:10" x14ac:dyDescent="0.25">
      <c r="C72" s="3"/>
    </row>
    <row r="73" spans="2:10" x14ac:dyDescent="0.25">
      <c r="B73" s="3"/>
      <c r="C73" s="3"/>
      <c r="D73" s="3"/>
      <c r="E73" s="3"/>
      <c r="F73" s="3"/>
      <c r="G73" s="3"/>
      <c r="H73" s="3"/>
    </row>
    <row r="74" spans="2:10" x14ac:dyDescent="0.25">
      <c r="D74" s="3"/>
      <c r="E74" s="3"/>
      <c r="F74" s="3"/>
      <c r="G74" s="3"/>
      <c r="H74" s="3"/>
    </row>
    <row r="78" spans="2:10" x14ac:dyDescent="0.25">
      <c r="F78" s="39"/>
      <c r="G78" s="39"/>
      <c r="H78" s="39"/>
    </row>
    <row r="79" spans="2:10" x14ac:dyDescent="0.25">
      <c r="C79" s="315"/>
      <c r="D79" s="315"/>
      <c r="E79" s="1"/>
      <c r="F79" s="3"/>
      <c r="G79" s="3"/>
      <c r="H79" s="3"/>
      <c r="I79" s="3"/>
      <c r="J79" s="41"/>
    </row>
    <row r="80" spans="2:10" x14ac:dyDescent="0.25">
      <c r="F80" s="42"/>
      <c r="G80" s="42"/>
      <c r="H80" s="42"/>
      <c r="I80" s="39"/>
      <c r="J80" s="41"/>
    </row>
    <row r="84" spans="9:9" x14ac:dyDescent="0.25">
      <c r="I84" s="3"/>
    </row>
    <row r="85" spans="9:9" x14ac:dyDescent="0.25">
      <c r="I85" s="3"/>
    </row>
    <row r="86" spans="9:9" x14ac:dyDescent="0.25">
      <c r="I86" s="3"/>
    </row>
    <row r="87" spans="9:9" x14ac:dyDescent="0.25">
      <c r="I87" s="3"/>
    </row>
    <row r="92" spans="9:9" x14ac:dyDescent="0.25">
      <c r="I92" s="5"/>
    </row>
  </sheetData>
  <autoFilter ref="A4:I4" xr:uid="{C279FD56-4780-431C-B615-9241131757C1}"/>
  <mergeCells count="3">
    <mergeCell ref="C79:D79"/>
    <mergeCell ref="C1:F1"/>
    <mergeCell ref="C2:D2"/>
  </mergeCells>
  <conditionalFormatting sqref="I4:J4">
    <cfRule type="cellIs" dxfId="1" priority="1" operator="less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882B1-7035-40C8-91CC-377436F9DF31}">
  <sheetPr codeName="Sheet6">
    <tabColor theme="8" tint="0.39997558519241921"/>
  </sheetPr>
  <dimension ref="A1:Q61"/>
  <sheetViews>
    <sheetView showGridLines="0" zoomScale="160" zoomScaleNormal="160" zoomScaleSheetLayoutView="142" workbookViewId="0">
      <pane ySplit="4" topLeftCell="A33" activePane="bottomLeft" state="frozen"/>
      <selection pane="bottomLeft" activeCell="C8" sqref="C8"/>
    </sheetView>
  </sheetViews>
  <sheetFormatPr defaultColWidth="8.85546875" defaultRowHeight="15" x14ac:dyDescent="0.25"/>
  <cols>
    <col min="1" max="2" width="12.42578125" customWidth="1"/>
    <col min="3" max="3" width="12" customWidth="1"/>
    <col min="4" max="4" width="12.85546875" customWidth="1"/>
    <col min="5" max="5" width="12" customWidth="1"/>
    <col min="6" max="8" width="10.85546875" customWidth="1"/>
    <col min="9" max="10" width="10.85546875" hidden="1" customWidth="1"/>
    <col min="11" max="11" width="10.85546875" customWidth="1"/>
    <col min="12" max="15" width="10.85546875" hidden="1" customWidth="1"/>
    <col min="16" max="16" width="13.140625" bestFit="1" customWidth="1"/>
    <col min="17" max="17" width="11" bestFit="1" customWidth="1"/>
  </cols>
  <sheetData>
    <row r="1" spans="1:17" ht="23.25" x14ac:dyDescent="0.35">
      <c r="D1" s="48" t="s">
        <v>41</v>
      </c>
      <c r="E1" s="48"/>
      <c r="F1" s="49"/>
      <c r="G1" s="49"/>
      <c r="H1" s="49"/>
      <c r="I1" s="49"/>
      <c r="J1" s="49"/>
      <c r="K1" s="49"/>
    </row>
    <row r="2" spans="1:17" ht="15" customHeight="1" x14ac:dyDescent="0.25">
      <c r="C2" s="3"/>
    </row>
    <row r="4" spans="1:17" ht="31.5" customHeight="1" x14ac:dyDescent="0.25">
      <c r="A4" s="17" t="s">
        <v>42</v>
      </c>
      <c r="B4" s="17" t="s">
        <v>43</v>
      </c>
      <c r="C4" s="18" t="s">
        <v>21</v>
      </c>
      <c r="D4" s="18" t="s">
        <v>26</v>
      </c>
      <c r="E4" s="18" t="s">
        <v>25</v>
      </c>
      <c r="F4" s="19" t="s">
        <v>27</v>
      </c>
      <c r="G4" s="19" t="s">
        <v>28</v>
      </c>
      <c r="H4" s="19" t="s">
        <v>62</v>
      </c>
      <c r="I4" s="19" t="s">
        <v>22</v>
      </c>
      <c r="J4" s="19" t="s">
        <v>72</v>
      </c>
      <c r="K4" s="19" t="s">
        <v>66</v>
      </c>
      <c r="L4" s="19" t="s">
        <v>44</v>
      </c>
      <c r="M4" s="19" t="s">
        <v>45</v>
      </c>
      <c r="N4" s="19" t="s">
        <v>47</v>
      </c>
      <c r="O4" s="19" t="s">
        <v>78</v>
      </c>
      <c r="P4" s="18" t="s">
        <v>9</v>
      </c>
    </row>
    <row r="5" spans="1:17" x14ac:dyDescent="0.25">
      <c r="A5" s="10">
        <f>Services!I3</f>
        <v>0</v>
      </c>
      <c r="B5" s="10">
        <v>44758</v>
      </c>
      <c r="C5" s="11">
        <v>894.5</v>
      </c>
      <c r="D5" s="11">
        <v>242.25</v>
      </c>
      <c r="E5" s="11">
        <v>622.25</v>
      </c>
      <c r="F5" s="11">
        <v>360</v>
      </c>
      <c r="G5" s="11">
        <v>84</v>
      </c>
      <c r="H5" s="11"/>
      <c r="I5" s="11"/>
      <c r="J5" s="11"/>
      <c r="K5" s="11"/>
      <c r="L5" s="11">
        <v>406</v>
      </c>
      <c r="M5" s="11">
        <v>182</v>
      </c>
      <c r="N5" s="11">
        <v>514</v>
      </c>
      <c r="O5" s="11"/>
      <c r="P5" s="11">
        <f t="shared" ref="P5:P9" si="0">SUM(C5:N5)</f>
        <v>3305</v>
      </c>
    </row>
    <row r="6" spans="1:17" x14ac:dyDescent="0.25">
      <c r="A6" s="10">
        <f>Services!AS3</f>
        <v>0</v>
      </c>
      <c r="B6" s="10">
        <v>44765</v>
      </c>
      <c r="C6" s="11">
        <v>1055.375</v>
      </c>
      <c r="D6" s="11">
        <v>114</v>
      </c>
      <c r="E6" s="11">
        <v>534.5</v>
      </c>
      <c r="F6" s="11">
        <v>360</v>
      </c>
      <c r="G6" s="11">
        <v>272.5</v>
      </c>
      <c r="H6" s="11"/>
      <c r="I6" s="11"/>
      <c r="J6" s="11"/>
      <c r="K6" s="11"/>
      <c r="L6" s="11">
        <v>362.5</v>
      </c>
      <c r="M6" s="11">
        <v>126</v>
      </c>
      <c r="N6" s="11">
        <v>5</v>
      </c>
      <c r="O6" s="11"/>
      <c r="P6" s="11">
        <f t="shared" si="0"/>
        <v>2829.875</v>
      </c>
    </row>
    <row r="7" spans="1:17" x14ac:dyDescent="0.25">
      <c r="A7" s="10">
        <f>Services!BE3</f>
        <v>0</v>
      </c>
      <c r="B7" s="10">
        <v>44772</v>
      </c>
      <c r="C7" s="11">
        <f>1314.25+30.25</f>
        <v>1344.5</v>
      </c>
      <c r="D7" s="11">
        <v>85.5</v>
      </c>
      <c r="E7" s="11">
        <v>366</v>
      </c>
      <c r="F7" s="11">
        <v>360</v>
      </c>
      <c r="G7" s="11">
        <v>345</v>
      </c>
      <c r="H7" s="11"/>
      <c r="I7" s="11"/>
      <c r="J7" s="11"/>
      <c r="K7" s="11"/>
      <c r="L7" s="11">
        <v>406</v>
      </c>
      <c r="M7" s="11">
        <v>182</v>
      </c>
      <c r="N7" s="11">
        <v>0</v>
      </c>
      <c r="O7" s="11"/>
      <c r="P7" s="11">
        <f t="shared" si="0"/>
        <v>3089</v>
      </c>
    </row>
    <row r="8" spans="1:17" x14ac:dyDescent="0.25">
      <c r="A8" s="10">
        <f>Services!BQ3</f>
        <v>0</v>
      </c>
      <c r="B8" s="10">
        <v>44779</v>
      </c>
      <c r="C8" s="11">
        <v>1236</v>
      </c>
      <c r="D8" s="11">
        <v>57</v>
      </c>
      <c r="E8" s="11">
        <v>665.5</v>
      </c>
      <c r="F8" s="11">
        <v>360</v>
      </c>
      <c r="G8" s="11">
        <v>421.5</v>
      </c>
      <c r="H8" s="11"/>
      <c r="I8" s="11"/>
      <c r="J8" s="11"/>
      <c r="K8" s="11"/>
      <c r="L8" s="11">
        <v>391.5</v>
      </c>
      <c r="M8" s="11">
        <v>192</v>
      </c>
      <c r="N8" s="11"/>
      <c r="O8" s="11"/>
      <c r="P8" s="11">
        <f t="shared" si="0"/>
        <v>3323.5</v>
      </c>
    </row>
    <row r="9" spans="1:17" x14ac:dyDescent="0.25">
      <c r="A9" s="10">
        <f>Services!CC3</f>
        <v>0</v>
      </c>
      <c r="B9" s="10">
        <v>44786</v>
      </c>
      <c r="C9" s="11">
        <v>1565</v>
      </c>
      <c r="D9" s="11">
        <v>267</v>
      </c>
      <c r="E9" s="11">
        <v>310.5</v>
      </c>
      <c r="F9" s="11">
        <v>360</v>
      </c>
      <c r="G9" s="11">
        <v>432</v>
      </c>
      <c r="H9" s="11"/>
      <c r="I9" s="11"/>
      <c r="J9" s="11"/>
      <c r="K9" s="11"/>
      <c r="L9" s="11">
        <v>348</v>
      </c>
      <c r="M9" s="11">
        <v>182</v>
      </c>
      <c r="N9" s="11"/>
      <c r="O9" s="11"/>
      <c r="P9" s="11">
        <f t="shared" si="0"/>
        <v>3464.5</v>
      </c>
    </row>
    <row r="10" spans="1:17" x14ac:dyDescent="0.25">
      <c r="A10" s="10">
        <f>Services!CO3</f>
        <v>0</v>
      </c>
      <c r="B10" s="10">
        <v>44793</v>
      </c>
      <c r="C10" s="11">
        <v>1646</v>
      </c>
      <c r="D10" s="11">
        <v>57</v>
      </c>
      <c r="E10" s="11">
        <v>749.5</v>
      </c>
      <c r="F10" s="11">
        <v>360</v>
      </c>
      <c r="G10" s="11">
        <v>272.5</v>
      </c>
      <c r="H10" s="11"/>
      <c r="I10" s="11"/>
      <c r="J10" s="11"/>
      <c r="K10" s="11"/>
      <c r="L10" s="11">
        <v>449.5</v>
      </c>
      <c r="M10" s="11">
        <v>126</v>
      </c>
      <c r="N10" s="11"/>
      <c r="O10" s="11"/>
      <c r="P10" s="11">
        <f>SUM(C10:N10)</f>
        <v>3660.5</v>
      </c>
      <c r="Q10" s="3"/>
    </row>
    <row r="11" spans="1:17" x14ac:dyDescent="0.25">
      <c r="A11" s="10">
        <f>Services!DA3</f>
        <v>0</v>
      </c>
      <c r="B11" s="10">
        <v>44799</v>
      </c>
      <c r="C11" s="11">
        <v>1571.5</v>
      </c>
      <c r="D11" s="11">
        <v>267</v>
      </c>
      <c r="E11" s="11">
        <v>664.5</v>
      </c>
      <c r="F11" s="11">
        <v>360</v>
      </c>
      <c r="G11" s="11">
        <v>287</v>
      </c>
      <c r="H11" s="11"/>
      <c r="I11" s="11"/>
      <c r="J11" s="11"/>
      <c r="K11" s="11"/>
      <c r="L11" s="11">
        <v>319</v>
      </c>
      <c r="M11" s="11">
        <v>126</v>
      </c>
      <c r="N11" s="11"/>
      <c r="O11" s="11"/>
      <c r="P11" s="11">
        <f>SUM(C11:N11)</f>
        <v>3595</v>
      </c>
    </row>
    <row r="12" spans="1:17" x14ac:dyDescent="0.25">
      <c r="A12" s="10">
        <f>Services!DL3</f>
        <v>0</v>
      </c>
      <c r="B12" s="10">
        <v>44807</v>
      </c>
      <c r="C12" s="11">
        <v>1732.5</v>
      </c>
      <c r="D12" s="11">
        <v>132</v>
      </c>
      <c r="E12" s="11">
        <v>431</v>
      </c>
      <c r="F12" s="11">
        <v>360</v>
      </c>
      <c r="G12" s="11">
        <v>272.5</v>
      </c>
      <c r="H12" s="11"/>
      <c r="I12" s="11"/>
      <c r="J12" s="11"/>
      <c r="K12" s="11"/>
      <c r="L12" s="11">
        <v>246.5</v>
      </c>
      <c r="M12" s="11">
        <v>0</v>
      </c>
      <c r="N12" s="11"/>
      <c r="O12" s="11"/>
      <c r="P12" s="11">
        <f>SUM(C12:N12)</f>
        <v>3174.5</v>
      </c>
    </row>
    <row r="13" spans="1:17" x14ac:dyDescent="0.25">
      <c r="A13" s="10">
        <f>Services!DV3</f>
        <v>0</v>
      </c>
      <c r="B13" s="10">
        <v>44813</v>
      </c>
      <c r="C13" s="11">
        <v>1479</v>
      </c>
      <c r="D13" s="11">
        <v>267</v>
      </c>
      <c r="E13" s="11">
        <v>713</v>
      </c>
      <c r="F13" s="11">
        <v>360</v>
      </c>
      <c r="G13" s="11">
        <v>287</v>
      </c>
      <c r="H13" s="11"/>
      <c r="I13" s="11"/>
      <c r="J13" s="11"/>
      <c r="K13" s="11"/>
      <c r="L13" s="11">
        <v>188.5</v>
      </c>
      <c r="M13" s="11">
        <v>0</v>
      </c>
      <c r="N13" s="11"/>
      <c r="O13" s="11"/>
      <c r="P13" s="11">
        <f t="shared" ref="P13:P16" si="1">SUM(C13:N13)</f>
        <v>3294.5</v>
      </c>
    </row>
    <row r="14" spans="1:17" x14ac:dyDescent="0.25">
      <c r="A14" s="10">
        <f>Services!EF3</f>
        <v>0</v>
      </c>
      <c r="B14" s="10">
        <v>44821</v>
      </c>
      <c r="C14" s="11">
        <v>2068</v>
      </c>
      <c r="D14" s="11">
        <v>117</v>
      </c>
      <c r="E14" s="11">
        <v>0</v>
      </c>
      <c r="F14" s="11">
        <v>360</v>
      </c>
      <c r="G14" s="11">
        <v>272.5</v>
      </c>
      <c r="H14" s="11"/>
      <c r="I14" s="11"/>
      <c r="J14" s="11"/>
      <c r="K14" s="11"/>
      <c r="L14" s="11">
        <v>246.5</v>
      </c>
      <c r="M14" s="11">
        <v>0</v>
      </c>
      <c r="N14" s="11"/>
      <c r="O14" s="11"/>
      <c r="P14" s="11">
        <f t="shared" si="1"/>
        <v>3064</v>
      </c>
    </row>
    <row r="15" spans="1:17" x14ac:dyDescent="0.25">
      <c r="A15" s="10">
        <f>Services!EP3</f>
        <v>0</v>
      </c>
      <c r="B15" s="10">
        <v>44827</v>
      </c>
      <c r="C15" s="11">
        <f>Services!EQ62</f>
        <v>0</v>
      </c>
      <c r="D15" s="11">
        <f>Services!ER62</f>
        <v>0</v>
      </c>
      <c r="E15" s="11">
        <v>300</v>
      </c>
      <c r="F15" s="11">
        <f>Services!EU62</f>
        <v>0</v>
      </c>
      <c r="G15" s="11">
        <f>Services!ET62</f>
        <v>0</v>
      </c>
      <c r="H15" s="11"/>
      <c r="I15" s="11"/>
      <c r="J15" s="11"/>
      <c r="K15" s="11"/>
      <c r="L15" s="11">
        <f>Services!EV62</f>
        <v>0</v>
      </c>
      <c r="M15" s="11">
        <v>0</v>
      </c>
      <c r="N15" s="11"/>
      <c r="O15" s="11"/>
      <c r="P15" s="11">
        <f t="shared" si="1"/>
        <v>300</v>
      </c>
    </row>
    <row r="16" spans="1:17" x14ac:dyDescent="0.25">
      <c r="A16" s="30">
        <f>Services!EZ3</f>
        <v>0</v>
      </c>
      <c r="B16" s="10">
        <v>44835</v>
      </c>
      <c r="C16" s="11">
        <f>Services!FA62+8.03</f>
        <v>8.0299999999999994</v>
      </c>
      <c r="D16" s="11">
        <f>Services!FB62</f>
        <v>0</v>
      </c>
      <c r="E16" s="11">
        <f>Services!FC62-100</f>
        <v>-100</v>
      </c>
      <c r="F16" s="11">
        <f>Services!FE62</f>
        <v>0</v>
      </c>
      <c r="G16" s="11">
        <f>Services!FD62</f>
        <v>0</v>
      </c>
      <c r="H16" s="11"/>
      <c r="I16" s="11"/>
      <c r="J16" s="11"/>
      <c r="K16" s="11"/>
      <c r="L16" s="11">
        <f>Services!FG62</f>
        <v>0</v>
      </c>
      <c r="M16" s="11" t="e">
        <f>Services!#REF!</f>
        <v>#REF!</v>
      </c>
      <c r="N16" s="11"/>
      <c r="O16" s="11"/>
      <c r="P16" s="11" t="e">
        <f t="shared" si="1"/>
        <v>#REF!</v>
      </c>
    </row>
    <row r="17" spans="1:16" x14ac:dyDescent="0.25">
      <c r="A17" s="30">
        <f>Services!FK3</f>
        <v>0</v>
      </c>
      <c r="B17" s="10">
        <v>44841</v>
      </c>
      <c r="C17" s="11">
        <f>Services!FL62</f>
        <v>0</v>
      </c>
      <c r="D17" s="11">
        <v>270</v>
      </c>
      <c r="E17" s="11">
        <f>Services!FN62-100</f>
        <v>-100</v>
      </c>
      <c r="F17" s="11">
        <v>360</v>
      </c>
      <c r="G17" s="11">
        <v>229</v>
      </c>
      <c r="H17" s="11">
        <v>82</v>
      </c>
      <c r="I17" s="11">
        <v>227</v>
      </c>
      <c r="J17" s="11"/>
      <c r="K17" s="11"/>
      <c r="L17" s="11">
        <v>58</v>
      </c>
      <c r="M17" s="11">
        <v>0</v>
      </c>
      <c r="N17" s="11"/>
      <c r="O17" s="11"/>
      <c r="P17" s="11">
        <f t="shared" ref="P17:P22" si="2">SUM(C17:N17)</f>
        <v>1126</v>
      </c>
    </row>
    <row r="18" spans="1:16" x14ac:dyDescent="0.25">
      <c r="A18" s="30">
        <f>Services!FW3</f>
        <v>0</v>
      </c>
      <c r="B18" s="10">
        <v>44849</v>
      </c>
      <c r="C18" s="11">
        <v>941</v>
      </c>
      <c r="D18" s="11">
        <v>456</v>
      </c>
      <c r="E18" s="11">
        <f>Services!FZ62-100</f>
        <v>-100</v>
      </c>
      <c r="F18" s="11">
        <v>395</v>
      </c>
      <c r="G18" s="11">
        <v>214.5</v>
      </c>
      <c r="H18" s="11">
        <v>58</v>
      </c>
      <c r="I18" s="11">
        <v>451</v>
      </c>
      <c r="J18" s="11"/>
      <c r="K18" s="11"/>
      <c r="L18" s="11">
        <v>0</v>
      </c>
      <c r="M18" s="11"/>
      <c r="N18" s="11"/>
      <c r="O18" s="11"/>
      <c r="P18" s="11">
        <f t="shared" si="2"/>
        <v>2415.5</v>
      </c>
    </row>
    <row r="19" spans="1:16" x14ac:dyDescent="0.25">
      <c r="A19" s="30">
        <f>Services!GH3</f>
        <v>0</v>
      </c>
      <c r="B19" s="30">
        <v>44855</v>
      </c>
      <c r="C19" s="31">
        <v>761</v>
      </c>
      <c r="D19" s="31">
        <v>495</v>
      </c>
      <c r="E19" s="31">
        <v>566</v>
      </c>
      <c r="F19" s="31">
        <v>360</v>
      </c>
      <c r="G19" s="31">
        <v>274</v>
      </c>
      <c r="H19" s="31">
        <v>130.5</v>
      </c>
      <c r="I19" s="31">
        <v>391.5</v>
      </c>
      <c r="J19" s="31"/>
      <c r="K19" s="31">
        <v>154.5</v>
      </c>
      <c r="L19" s="31">
        <v>0</v>
      </c>
      <c r="M19" s="31"/>
      <c r="N19" s="31"/>
      <c r="O19" s="31"/>
      <c r="P19" s="11">
        <f t="shared" si="2"/>
        <v>3132.5</v>
      </c>
    </row>
    <row r="20" spans="1:16" x14ac:dyDescent="0.25">
      <c r="A20" s="10">
        <f>Services!GT3</f>
        <v>0</v>
      </c>
      <c r="B20" s="10">
        <v>44863</v>
      </c>
      <c r="C20" s="11">
        <v>616</v>
      </c>
      <c r="D20" s="11">
        <v>270</v>
      </c>
      <c r="E20" s="11">
        <v>502</v>
      </c>
      <c r="F20" s="11">
        <v>360</v>
      </c>
      <c r="G20" s="11">
        <v>372.75</v>
      </c>
      <c r="H20" s="11">
        <v>58</v>
      </c>
      <c r="I20" s="11">
        <v>188.5</v>
      </c>
      <c r="J20" s="11"/>
      <c r="K20" s="11">
        <v>406</v>
      </c>
      <c r="L20" s="11" t="s">
        <v>1</v>
      </c>
      <c r="M20" s="11"/>
      <c r="N20" s="11"/>
      <c r="O20" s="11"/>
      <c r="P20" s="11">
        <f t="shared" si="2"/>
        <v>2773.25</v>
      </c>
    </row>
    <row r="21" spans="1:16" x14ac:dyDescent="0.25">
      <c r="A21" s="10">
        <f>Services!HF3</f>
        <v>0</v>
      </c>
      <c r="B21" s="10">
        <v>44869</v>
      </c>
      <c r="C21" s="11">
        <v>757</v>
      </c>
      <c r="D21" s="11">
        <v>0</v>
      </c>
      <c r="E21" s="11">
        <v>680</v>
      </c>
      <c r="F21" s="11">
        <v>360</v>
      </c>
      <c r="G21" s="11">
        <v>229</v>
      </c>
      <c r="H21" s="11">
        <v>130.5</v>
      </c>
      <c r="I21" s="11">
        <v>349.5</v>
      </c>
      <c r="J21" s="11"/>
      <c r="K21" s="11">
        <v>594.5</v>
      </c>
      <c r="L21" s="11"/>
      <c r="M21" s="11"/>
      <c r="N21" s="11"/>
      <c r="O21" s="11"/>
      <c r="P21" s="11">
        <f t="shared" si="2"/>
        <v>3100.5</v>
      </c>
    </row>
    <row r="22" spans="1:16" x14ac:dyDescent="0.25">
      <c r="A22" s="10">
        <f>Services!HR3</f>
        <v>0</v>
      </c>
      <c r="B22" s="10">
        <v>44876</v>
      </c>
      <c r="C22" s="11">
        <v>872</v>
      </c>
      <c r="D22" s="11">
        <v>0</v>
      </c>
      <c r="E22" s="11">
        <v>616</v>
      </c>
      <c r="F22" s="11">
        <v>360</v>
      </c>
      <c r="G22" s="11">
        <v>259.5</v>
      </c>
      <c r="H22" s="11">
        <v>0</v>
      </c>
      <c r="I22" s="11">
        <v>0</v>
      </c>
      <c r="J22" s="11"/>
      <c r="K22" s="11">
        <v>565.5</v>
      </c>
      <c r="L22" s="11"/>
      <c r="M22" s="11"/>
      <c r="N22" s="11"/>
      <c r="O22" s="11"/>
      <c r="P22" s="11">
        <f t="shared" si="2"/>
        <v>2673</v>
      </c>
    </row>
    <row r="23" spans="1:16" x14ac:dyDescent="0.25">
      <c r="A23" s="10">
        <f>Services!IC3</f>
        <v>0</v>
      </c>
      <c r="B23" s="10">
        <v>44884</v>
      </c>
      <c r="C23" s="11">
        <f>Services!ID62</f>
        <v>0</v>
      </c>
      <c r="D23" s="11">
        <f>Services!IE62</f>
        <v>0</v>
      </c>
      <c r="E23" s="11">
        <f>Services!IF62-100</f>
        <v>-100</v>
      </c>
      <c r="F23" s="11">
        <f>Services!IH62</f>
        <v>0</v>
      </c>
      <c r="G23" s="11">
        <f>Services!IG62</f>
        <v>0</v>
      </c>
      <c r="H23" s="11">
        <f>Services!II62</f>
        <v>0</v>
      </c>
      <c r="I23" s="11"/>
      <c r="J23" s="11"/>
      <c r="K23" s="11">
        <f>Services!IJ62</f>
        <v>0</v>
      </c>
      <c r="L23" s="11"/>
      <c r="M23" s="11"/>
      <c r="N23" s="11"/>
      <c r="O23" s="11"/>
      <c r="P23" s="11">
        <f t="shared" ref="P23:P29" si="3">SUM(C23:N23)</f>
        <v>-100</v>
      </c>
    </row>
    <row r="24" spans="1:16" x14ac:dyDescent="0.25">
      <c r="A24" s="10">
        <f>Services!IN3</f>
        <v>0</v>
      </c>
      <c r="B24" s="10">
        <v>44891</v>
      </c>
      <c r="C24" s="11">
        <v>793</v>
      </c>
      <c r="D24" s="11">
        <v>0</v>
      </c>
      <c r="E24" s="11">
        <f>Services!IQ62-100-20</f>
        <v>-120</v>
      </c>
      <c r="F24" s="11">
        <v>240</v>
      </c>
      <c r="G24" s="51">
        <f>Services!IR62-G23</f>
        <v>0</v>
      </c>
      <c r="H24" s="11">
        <v>58</v>
      </c>
      <c r="I24" s="11"/>
      <c r="J24" s="11">
        <v>120</v>
      </c>
      <c r="K24" s="11">
        <v>689</v>
      </c>
      <c r="L24" s="11"/>
      <c r="M24" s="11"/>
      <c r="N24" s="11"/>
      <c r="O24" s="11"/>
      <c r="P24" s="11">
        <f t="shared" si="3"/>
        <v>1780</v>
      </c>
    </row>
    <row r="25" spans="1:16" x14ac:dyDescent="0.25">
      <c r="A25" s="10">
        <f>Services!IZ3</f>
        <v>0</v>
      </c>
      <c r="B25" s="10">
        <v>44898</v>
      </c>
      <c r="C25" s="11">
        <v>708.5</v>
      </c>
      <c r="D25" s="11">
        <v>0</v>
      </c>
      <c r="E25" s="11">
        <f>Services!JC62-100-20</f>
        <v>-120</v>
      </c>
      <c r="F25" s="11">
        <v>240</v>
      </c>
      <c r="G25" s="52">
        <f>Services!JD62+G24</f>
        <v>0</v>
      </c>
      <c r="H25" s="11">
        <v>203</v>
      </c>
      <c r="I25" s="11"/>
      <c r="J25" s="11">
        <v>120</v>
      </c>
      <c r="K25" s="11">
        <v>348</v>
      </c>
      <c r="L25" s="11"/>
      <c r="M25" s="11"/>
      <c r="N25" s="11"/>
      <c r="O25" s="11"/>
      <c r="P25" s="11">
        <f t="shared" si="3"/>
        <v>1499.5</v>
      </c>
    </row>
    <row r="26" spans="1:16" x14ac:dyDescent="0.25">
      <c r="A26" s="43">
        <f>Services!JL3</f>
        <v>0</v>
      </c>
      <c r="B26" s="43">
        <v>44904</v>
      </c>
      <c r="C26" s="13">
        <v>1005</v>
      </c>
      <c r="D26" s="13">
        <v>360</v>
      </c>
      <c r="E26" s="13">
        <f>Services!JO62</f>
        <v>0</v>
      </c>
      <c r="F26" s="13">
        <v>240</v>
      </c>
      <c r="G26" s="13">
        <v>214.5</v>
      </c>
      <c r="H26" s="13">
        <v>58</v>
      </c>
      <c r="I26" s="13"/>
      <c r="J26" s="13">
        <v>120</v>
      </c>
      <c r="K26" s="13">
        <v>704.75</v>
      </c>
      <c r="L26" s="13"/>
      <c r="M26" s="13"/>
      <c r="N26" s="13"/>
      <c r="O26" s="13"/>
      <c r="P26" s="11">
        <f t="shared" si="3"/>
        <v>2702.25</v>
      </c>
    </row>
    <row r="27" spans="1:16" x14ac:dyDescent="0.25">
      <c r="A27" s="43">
        <f>Services!JX3</f>
        <v>0</v>
      </c>
      <c r="B27" s="43">
        <v>44911</v>
      </c>
      <c r="C27" s="13">
        <f>Services!JY62</f>
        <v>0</v>
      </c>
      <c r="D27" s="13">
        <f>Services!JZ62</f>
        <v>0</v>
      </c>
      <c r="E27" s="13">
        <f>Services!KA62</f>
        <v>0</v>
      </c>
      <c r="F27" s="13">
        <f>Services!KC62</f>
        <v>0</v>
      </c>
      <c r="G27" s="13">
        <f>Services!KB62</f>
        <v>0</v>
      </c>
      <c r="H27" s="13">
        <f>Services!KD62</f>
        <v>0</v>
      </c>
      <c r="I27" s="13"/>
      <c r="J27" s="13">
        <f>Services!KF62</f>
        <v>0</v>
      </c>
      <c r="K27" s="13">
        <f>Services!KE62</f>
        <v>0</v>
      </c>
      <c r="L27" s="13"/>
      <c r="M27" s="13"/>
      <c r="N27" s="13"/>
      <c r="O27" s="13"/>
      <c r="P27" s="11">
        <f t="shared" si="3"/>
        <v>0</v>
      </c>
    </row>
    <row r="28" spans="1:16" x14ac:dyDescent="0.25">
      <c r="A28" s="43">
        <f>Services!KJ3</f>
        <v>0</v>
      </c>
      <c r="B28" s="43">
        <v>44918</v>
      </c>
      <c r="C28" s="13">
        <v>586</v>
      </c>
      <c r="D28" s="13">
        <v>210</v>
      </c>
      <c r="E28" s="13">
        <v>302</v>
      </c>
      <c r="F28" s="13">
        <v>240</v>
      </c>
      <c r="G28" s="13">
        <v>242.5</v>
      </c>
      <c r="H28" s="13">
        <v>130.5</v>
      </c>
      <c r="I28" s="13"/>
      <c r="J28" s="13">
        <v>120</v>
      </c>
      <c r="K28" s="13">
        <v>493</v>
      </c>
      <c r="L28" s="13"/>
      <c r="M28" s="13"/>
      <c r="N28" s="13"/>
      <c r="O28" s="13"/>
      <c r="P28" s="11">
        <f t="shared" si="3"/>
        <v>2324</v>
      </c>
    </row>
    <row r="29" spans="1:16" x14ac:dyDescent="0.25">
      <c r="A29" s="43">
        <f>Services!KV3</f>
        <v>0</v>
      </c>
      <c r="B29" s="43">
        <v>44926</v>
      </c>
      <c r="C29" s="13">
        <v>686</v>
      </c>
      <c r="D29" s="13">
        <v>459</v>
      </c>
      <c r="E29" s="13">
        <f>Services!KY62-100</f>
        <v>-100</v>
      </c>
      <c r="F29" s="13">
        <v>240</v>
      </c>
      <c r="G29" s="13">
        <v>284.25</v>
      </c>
      <c r="H29" s="13">
        <v>130.5</v>
      </c>
      <c r="I29" s="13"/>
      <c r="J29" s="13">
        <v>30</v>
      </c>
      <c r="K29" s="13">
        <v>667.25</v>
      </c>
      <c r="L29" s="13"/>
      <c r="M29" s="13"/>
      <c r="N29" s="13"/>
      <c r="O29" s="13"/>
      <c r="P29" s="11">
        <f t="shared" si="3"/>
        <v>2397</v>
      </c>
    </row>
    <row r="30" spans="1:16" x14ac:dyDescent="0.25">
      <c r="A30" s="43">
        <f>Services!LH3</f>
        <v>0</v>
      </c>
      <c r="B30" s="43">
        <v>44932</v>
      </c>
      <c r="C30" s="13">
        <v>1016</v>
      </c>
      <c r="D30" s="13">
        <v>0</v>
      </c>
      <c r="E30" s="13">
        <v>448</v>
      </c>
      <c r="F30" s="13">
        <v>0</v>
      </c>
      <c r="G30" s="13">
        <v>58</v>
      </c>
      <c r="H30" s="13">
        <v>0</v>
      </c>
      <c r="I30" s="13"/>
      <c r="J30" s="13"/>
      <c r="K30" s="13">
        <v>0</v>
      </c>
      <c r="L30" s="13"/>
      <c r="M30" s="13"/>
      <c r="N30" s="13"/>
      <c r="O30" s="13">
        <v>96</v>
      </c>
      <c r="P30" s="11">
        <f>SUM(C30:O30)</f>
        <v>1618</v>
      </c>
    </row>
    <row r="31" spans="1:16" x14ac:dyDescent="0.25">
      <c r="A31" s="43">
        <f>Services!LT3</f>
        <v>0</v>
      </c>
      <c r="B31" s="43">
        <v>44940</v>
      </c>
      <c r="C31" s="13">
        <v>671</v>
      </c>
      <c r="D31" s="13">
        <v>270</v>
      </c>
      <c r="E31" s="13">
        <v>432</v>
      </c>
      <c r="F31" s="13">
        <v>240</v>
      </c>
      <c r="G31" s="13">
        <v>253.75</v>
      </c>
      <c r="H31" s="13">
        <v>0</v>
      </c>
      <c r="I31" s="13"/>
      <c r="J31" s="13"/>
      <c r="K31" s="13">
        <v>429.25</v>
      </c>
      <c r="L31" s="13"/>
      <c r="M31" s="13"/>
      <c r="N31" s="13"/>
      <c r="O31" s="13">
        <v>0</v>
      </c>
      <c r="P31" s="11">
        <f>SUM(C31:O31)</f>
        <v>2296</v>
      </c>
    </row>
    <row r="32" spans="1:16" x14ac:dyDescent="0.25">
      <c r="A32" s="43">
        <f>Services!ME3</f>
        <v>0</v>
      </c>
      <c r="B32" s="43">
        <v>44947</v>
      </c>
      <c r="C32" s="13">
        <f>536+30</f>
        <v>566</v>
      </c>
      <c r="D32" s="13">
        <v>270</v>
      </c>
      <c r="E32" s="13">
        <v>313</v>
      </c>
      <c r="F32" s="13">
        <v>240</v>
      </c>
      <c r="G32" s="13">
        <v>217.5</v>
      </c>
      <c r="H32" s="13">
        <v>130.5</v>
      </c>
      <c r="I32" s="13"/>
      <c r="J32" s="13"/>
      <c r="K32" s="13">
        <v>690</v>
      </c>
      <c r="L32" s="13"/>
      <c r="M32" s="13"/>
      <c r="N32" s="13"/>
      <c r="O32" s="13">
        <v>0</v>
      </c>
      <c r="P32" s="11">
        <f>SUM(C32:O32)</f>
        <v>2427</v>
      </c>
    </row>
    <row r="33" spans="1:16" x14ac:dyDescent="0.25">
      <c r="A33" s="43">
        <f>Services!MP3</f>
        <v>0</v>
      </c>
      <c r="B33" s="43">
        <v>44954</v>
      </c>
      <c r="C33" s="13">
        <f>Services!MQ62</f>
        <v>0</v>
      </c>
      <c r="D33" s="13">
        <f>Services!MR62</f>
        <v>0</v>
      </c>
      <c r="E33" s="13">
        <f>Services!MS62</f>
        <v>0</v>
      </c>
      <c r="F33" s="13">
        <f>Services!MU62</f>
        <v>0</v>
      </c>
      <c r="G33" s="13">
        <f>Services!MT62</f>
        <v>0</v>
      </c>
      <c r="H33" s="13">
        <f>Services!MV62</f>
        <v>0</v>
      </c>
      <c r="I33" s="13"/>
      <c r="J33" s="13"/>
      <c r="K33" s="13">
        <f>Services!MW62</f>
        <v>0</v>
      </c>
      <c r="L33" s="13"/>
      <c r="M33" s="13"/>
      <c r="N33" s="13"/>
      <c r="O33" s="13"/>
      <c r="P33" s="11">
        <f>SUM(C33:O33)</f>
        <v>0</v>
      </c>
    </row>
    <row r="34" spans="1:16" x14ac:dyDescent="0.25">
      <c r="A34" s="43"/>
      <c r="B34" s="4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1"/>
    </row>
    <row r="35" spans="1:16" x14ac:dyDescent="0.25">
      <c r="A35" s="43"/>
      <c r="B35" s="4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1"/>
    </row>
    <row r="36" spans="1:16" x14ac:dyDescent="0.25">
      <c r="A36" s="43"/>
      <c r="B36" s="4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1"/>
    </row>
    <row r="37" spans="1:16" x14ac:dyDescent="0.25">
      <c r="A37" s="43"/>
      <c r="B37" s="4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1"/>
    </row>
    <row r="38" spans="1:16" x14ac:dyDescent="0.25">
      <c r="A38" s="43"/>
      <c r="B38" s="4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1"/>
    </row>
    <row r="39" spans="1:16" x14ac:dyDescent="0.25">
      <c r="A39" s="43"/>
      <c r="B39" s="4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1"/>
    </row>
    <row r="40" spans="1:16" x14ac:dyDescent="0.25">
      <c r="A40" s="43"/>
      <c r="B40" s="4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1"/>
    </row>
    <row r="41" spans="1:16" x14ac:dyDescent="0.25">
      <c r="A41" s="43"/>
      <c r="B41" s="43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1"/>
    </row>
    <row r="42" spans="1:16" x14ac:dyDescent="0.25">
      <c r="A42" s="43"/>
      <c r="B42" s="4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1"/>
    </row>
    <row r="43" spans="1:16" x14ac:dyDescent="0.25">
      <c r="A43" s="43"/>
      <c r="B43" s="43"/>
      <c r="C43" s="13"/>
      <c r="D43" s="13"/>
      <c r="E43" s="13"/>
      <c r="F43" s="11"/>
      <c r="G43" s="44"/>
      <c r="H43" s="44"/>
      <c r="I43" s="44"/>
      <c r="J43" s="44"/>
      <c r="K43" s="44"/>
      <c r="L43" s="44"/>
      <c r="M43" s="44"/>
      <c r="N43" s="44"/>
      <c r="O43" s="44"/>
      <c r="P43" s="44"/>
    </row>
    <row r="44" spans="1:16" x14ac:dyDescent="0.25">
      <c r="A44" s="43"/>
      <c r="B44" s="43"/>
      <c r="C44" s="13"/>
      <c r="D44" s="13"/>
      <c r="E44" s="13"/>
      <c r="F44" s="6"/>
      <c r="G44" s="45"/>
      <c r="H44" s="45"/>
      <c r="I44" s="45"/>
      <c r="J44" s="45"/>
      <c r="K44" s="45"/>
      <c r="L44" s="45"/>
      <c r="M44" s="45"/>
      <c r="N44" s="45"/>
      <c r="O44" s="45"/>
      <c r="P44" s="44"/>
    </row>
    <row r="45" spans="1:16" x14ac:dyDescent="0.25">
      <c r="A45" s="43"/>
      <c r="B45" s="43"/>
      <c r="C45" s="13"/>
      <c r="D45" s="13"/>
      <c r="E45" s="13"/>
      <c r="F45" s="46"/>
      <c r="G45" s="46"/>
      <c r="H45" s="46"/>
      <c r="I45" s="46"/>
      <c r="J45" s="46"/>
      <c r="K45" s="46"/>
      <c r="L45" s="46"/>
      <c r="M45" s="46"/>
      <c r="N45" s="46"/>
      <c r="O45" s="46"/>
      <c r="P45" s="11"/>
    </row>
    <row r="46" spans="1:16" x14ac:dyDescent="0.25">
      <c r="A46" s="43"/>
      <c r="B46" s="43"/>
      <c r="C46" s="13"/>
      <c r="D46" s="13"/>
      <c r="E46" s="13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</row>
    <row r="47" spans="1:16" x14ac:dyDescent="0.25">
      <c r="A47" s="43"/>
      <c r="B47" s="43"/>
      <c r="C47" s="13"/>
      <c r="D47" s="13"/>
      <c r="E47" s="13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s="11"/>
    </row>
    <row r="48" spans="1:16" x14ac:dyDescent="0.25">
      <c r="A48" s="43"/>
      <c r="B48" s="43"/>
      <c r="C48" s="13"/>
      <c r="D48" s="13"/>
      <c r="E48" s="13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1"/>
    </row>
    <row r="49" spans="1:16" x14ac:dyDescent="0.25">
      <c r="A49" s="43"/>
      <c r="B49" s="43"/>
      <c r="C49" s="13"/>
      <c r="D49" s="13"/>
      <c r="E49" s="13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</row>
    <row r="50" spans="1:16" x14ac:dyDescent="0.25">
      <c r="A50" s="43"/>
      <c r="B50" s="43"/>
      <c r="C50" s="13"/>
      <c r="D50" s="13"/>
      <c r="E50" s="13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</row>
    <row r="51" spans="1:16" x14ac:dyDescent="0.25">
      <c r="A51" s="43"/>
      <c r="B51" s="43"/>
      <c r="C51" s="13"/>
      <c r="D51" s="13"/>
      <c r="E51" s="13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</row>
    <row r="52" spans="1:16" x14ac:dyDescent="0.25">
      <c r="A52" s="43"/>
      <c r="B52" s="43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1"/>
    </row>
    <row r="53" spans="1:16" x14ac:dyDescent="0.25">
      <c r="A53" s="43"/>
      <c r="B53" s="43"/>
      <c r="C53" s="13"/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1"/>
    </row>
    <row r="54" spans="1:16" x14ac:dyDescent="0.25">
      <c r="A54" s="43"/>
      <c r="B54" s="43"/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1"/>
    </row>
    <row r="55" spans="1:16" x14ac:dyDescent="0.25">
      <c r="A55" s="43"/>
      <c r="B55" s="43"/>
      <c r="C55" s="13"/>
      <c r="D55" s="13"/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1"/>
    </row>
    <row r="56" spans="1:16" x14ac:dyDescent="0.25">
      <c r="A56" s="43"/>
      <c r="B56" s="43"/>
      <c r="C56" s="13"/>
      <c r="D56" s="13"/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1"/>
    </row>
    <row r="57" spans="1:16" ht="15.75" thickBot="1" x14ac:dyDescent="0.3">
      <c r="A57" s="43"/>
      <c r="B57" s="43"/>
      <c r="C57" s="13"/>
      <c r="D57" s="13"/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1"/>
    </row>
    <row r="58" spans="1:16" ht="15.75" thickBot="1" x14ac:dyDescent="0.3">
      <c r="A58" s="36"/>
      <c r="B58" s="37"/>
      <c r="C58" s="38"/>
      <c r="D58" s="38"/>
      <c r="E58" s="38"/>
      <c r="F58" s="38"/>
      <c r="G58" s="38"/>
      <c r="H58" s="38"/>
      <c r="I58" s="38"/>
      <c r="J58" s="38"/>
      <c r="K58" s="38"/>
      <c r="L58" s="38"/>
      <c r="M58" s="38"/>
      <c r="N58" s="50"/>
      <c r="O58" s="50"/>
      <c r="P58" s="47"/>
    </row>
    <row r="59" spans="1:16" x14ac:dyDescent="0.25">
      <c r="D59" s="3"/>
    </row>
    <row r="60" spans="1:16" x14ac:dyDescent="0.25">
      <c r="C60" s="3"/>
      <c r="P60" s="3"/>
    </row>
    <row r="61" spans="1:16" x14ac:dyDescent="0.25">
      <c r="P61" s="3"/>
    </row>
  </sheetData>
  <autoFilter ref="A4:P4" xr:uid="{0B283441-485E-4314-88EC-711A44B4FF3E}"/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EBF8DC-25CD-4C53-A838-E96A1BE5FEE0}">
  <sheetPr codeName="Sheet60">
    <tabColor rgb="FFFFC000"/>
    <outlinePr summaryBelow="0" summaryRight="0"/>
    <pageSetUpPr fitToPage="1"/>
  </sheetPr>
  <dimension ref="A1:J59"/>
  <sheetViews>
    <sheetView showGridLines="0" workbookViewId="0">
      <selection sqref="A1:XFD1048576"/>
    </sheetView>
  </sheetViews>
  <sheetFormatPr defaultColWidth="14.42578125" defaultRowHeight="15.75" customHeight="1" x14ac:dyDescent="0.2"/>
  <cols>
    <col min="1" max="1" width="5.42578125" style="55" customWidth="1"/>
    <col min="2" max="3" width="14.42578125" style="55"/>
    <col min="4" max="4" width="17.28515625" style="55" customWidth="1"/>
    <col min="5" max="5" width="18.140625" style="55" bestFit="1" customWidth="1"/>
    <col min="6" max="6" width="17.42578125" style="55" customWidth="1"/>
    <col min="7" max="7" width="12.42578125" style="55" customWidth="1"/>
    <col min="8" max="8" width="17" style="55" bestFit="1" customWidth="1"/>
    <col min="9" max="9" width="3.85546875" style="55" customWidth="1"/>
    <col min="10" max="16384" width="14.42578125" style="55"/>
  </cols>
  <sheetData>
    <row r="1" spans="1:10" ht="39" customHeight="1" x14ac:dyDescent="0.2">
      <c r="A1" s="54"/>
      <c r="B1" s="54"/>
      <c r="C1" s="54"/>
      <c r="D1" s="54"/>
      <c r="E1" s="54"/>
      <c r="F1" s="54"/>
      <c r="G1" s="54"/>
      <c r="H1" s="54"/>
      <c r="I1" s="54"/>
    </row>
    <row r="2" spans="1:10" x14ac:dyDescent="0.25">
      <c r="A2" s="54"/>
      <c r="B2" s="56"/>
      <c r="C2" s="56"/>
      <c r="D2" s="56"/>
      <c r="E2" s="57"/>
      <c r="F2" s="57"/>
      <c r="G2" s="57"/>
      <c r="H2" s="57"/>
      <c r="I2" s="56"/>
    </row>
    <row r="3" spans="1:10" ht="12.75" x14ac:dyDescent="0.2">
      <c r="A3" s="54"/>
      <c r="B3" s="56"/>
      <c r="C3" s="56"/>
      <c r="D3" s="56"/>
      <c r="E3" s="273"/>
      <c r="F3" s="274"/>
      <c r="G3" s="274"/>
      <c r="H3" s="274"/>
      <c r="I3" s="56"/>
    </row>
    <row r="4" spans="1:10" ht="12.75" x14ac:dyDescent="0.2">
      <c r="A4" s="54"/>
      <c r="B4" s="275" t="s">
        <v>83</v>
      </c>
      <c r="C4" s="276"/>
      <c r="D4" s="276"/>
      <c r="E4" s="277"/>
      <c r="F4" s="274"/>
      <c r="G4" s="274"/>
      <c r="H4" s="274"/>
      <c r="I4" s="56"/>
    </row>
    <row r="5" spans="1:10" ht="12.75" x14ac:dyDescent="0.2">
      <c r="A5" s="54"/>
      <c r="B5" s="276"/>
      <c r="C5" s="276"/>
      <c r="D5" s="276"/>
      <c r="E5" s="277"/>
      <c r="F5" s="274"/>
      <c r="G5" s="274"/>
      <c r="H5" s="274"/>
      <c r="I5" s="56"/>
    </row>
    <row r="6" spans="1:10" ht="12.75" x14ac:dyDescent="0.2">
      <c r="A6" s="54"/>
      <c r="B6" s="276"/>
      <c r="C6" s="276"/>
      <c r="D6" s="276"/>
      <c r="E6" s="277"/>
      <c r="F6" s="274"/>
      <c r="G6" s="274"/>
      <c r="H6" s="274"/>
      <c r="I6" s="56"/>
    </row>
    <row r="7" spans="1:10" ht="36.75" customHeight="1" x14ac:dyDescent="0.2">
      <c r="A7" s="54"/>
      <c r="B7" s="54"/>
      <c r="C7" s="54"/>
      <c r="D7" s="54"/>
      <c r="E7" s="54"/>
      <c r="F7" s="54"/>
      <c r="G7" s="54"/>
      <c r="H7" s="54"/>
      <c r="I7" s="54"/>
    </row>
    <row r="8" spans="1:10" ht="21.75" customHeight="1" x14ac:dyDescent="0.2">
      <c r="A8" s="58"/>
      <c r="B8" s="58"/>
      <c r="C8" s="58"/>
      <c r="D8" s="58"/>
      <c r="E8" s="58"/>
      <c r="F8" s="58"/>
      <c r="G8" s="58"/>
      <c r="H8" s="58"/>
      <c r="I8" s="58"/>
      <c r="J8" s="59"/>
    </row>
    <row r="9" spans="1:10" ht="15.75" customHeight="1" x14ac:dyDescent="0.2">
      <c r="B9" s="278"/>
      <c r="C9" s="278"/>
      <c r="D9" s="278"/>
      <c r="E9" s="278"/>
      <c r="F9" s="278"/>
      <c r="G9" s="278"/>
      <c r="H9" s="278"/>
    </row>
    <row r="10" spans="1:10" ht="15" customHeight="1" x14ac:dyDescent="0.2">
      <c r="A10" s="98"/>
      <c r="B10" s="60" t="s">
        <v>84</v>
      </c>
      <c r="G10" s="60"/>
      <c r="H10" s="61" t="s">
        <v>85</v>
      </c>
      <c r="J10" s="165" t="s">
        <v>280</v>
      </c>
    </row>
    <row r="11" spans="1:10" ht="14.25" x14ac:dyDescent="0.2">
      <c r="A11" s="98"/>
      <c r="B11" s="62" t="s">
        <v>86</v>
      </c>
      <c r="G11" s="62"/>
      <c r="H11" s="63" t="str">
        <f>"ND"&amp;J11</f>
        <v>ND1002</v>
      </c>
      <c r="J11" s="55">
        <v>1002</v>
      </c>
    </row>
    <row r="12" spans="1:10" ht="15" x14ac:dyDescent="0.2">
      <c r="A12" s="98"/>
      <c r="B12" s="62" t="s">
        <v>87</v>
      </c>
      <c r="G12" s="60"/>
      <c r="H12" s="61" t="s">
        <v>88</v>
      </c>
      <c r="J12" s="55">
        <v>7</v>
      </c>
    </row>
    <row r="13" spans="1:10" ht="14.25" x14ac:dyDescent="0.2">
      <c r="A13" s="98"/>
      <c r="B13" s="62"/>
      <c r="G13" s="64"/>
      <c r="H13" s="65">
        <v>44767</v>
      </c>
      <c r="J13" s="55">
        <v>1</v>
      </c>
    </row>
    <row r="14" spans="1:10" ht="15" x14ac:dyDescent="0.2">
      <c r="A14" s="98"/>
      <c r="G14" s="60"/>
      <c r="H14" s="61" t="s">
        <v>89</v>
      </c>
    </row>
    <row r="15" spans="1:10" ht="14.25" x14ac:dyDescent="0.2">
      <c r="A15" s="98"/>
      <c r="G15" s="64"/>
      <c r="H15" s="65">
        <f>H13+J12</f>
        <v>44774</v>
      </c>
    </row>
    <row r="16" spans="1:10" ht="14.25" x14ac:dyDescent="0.2">
      <c r="A16" s="98"/>
      <c r="B16" s="62"/>
      <c r="F16" s="65"/>
      <c r="G16" s="65"/>
      <c r="H16" s="65"/>
    </row>
    <row r="17" spans="1:8" ht="14.25" x14ac:dyDescent="0.2">
      <c r="A17" s="98"/>
      <c r="F17" s="65"/>
      <c r="G17" s="65"/>
      <c r="H17" s="66"/>
    </row>
    <row r="18" spans="1:8" ht="22.5" customHeight="1" x14ac:dyDescent="0.2">
      <c r="A18" s="98"/>
      <c r="B18" s="279" t="s">
        <v>90</v>
      </c>
      <c r="C18" s="280"/>
      <c r="D18" s="280"/>
      <c r="E18" s="280"/>
      <c r="F18" s="65"/>
      <c r="G18" s="65"/>
      <c r="H18" s="66"/>
    </row>
    <row r="19" spans="1:8" ht="15" x14ac:dyDescent="0.2">
      <c r="A19" s="98"/>
      <c r="B19" s="279" t="s">
        <v>260</v>
      </c>
      <c r="C19" s="280"/>
      <c r="D19" s="280"/>
      <c r="E19" s="280"/>
      <c r="F19" s="65"/>
      <c r="G19" s="65"/>
      <c r="H19" s="66"/>
    </row>
    <row r="20" spans="1:8" ht="14.25" x14ac:dyDescent="0.2">
      <c r="A20" s="98"/>
      <c r="B20" s="281" t="s">
        <v>261</v>
      </c>
      <c r="C20" s="280"/>
      <c r="D20" s="280"/>
      <c r="E20" s="280"/>
      <c r="F20" s="65"/>
      <c r="G20" s="65"/>
      <c r="H20" s="66"/>
    </row>
    <row r="21" spans="1:8" ht="14.25" x14ac:dyDescent="0.2">
      <c r="A21" s="98"/>
      <c r="B21" s="62"/>
      <c r="C21" s="67"/>
      <c r="D21" s="67"/>
      <c r="E21" s="67"/>
      <c r="F21" s="65"/>
      <c r="G21" s="65"/>
      <c r="H21" s="66"/>
    </row>
    <row r="22" spans="1:8" ht="14.25" x14ac:dyDescent="0.2">
      <c r="A22" s="98"/>
      <c r="B22" s="62"/>
      <c r="C22" s="67"/>
      <c r="D22" s="67"/>
      <c r="E22" s="67"/>
      <c r="F22" s="65"/>
      <c r="G22" s="65"/>
      <c r="H22" s="66"/>
    </row>
    <row r="23" spans="1:8" ht="22.5" customHeight="1" x14ac:dyDescent="0.2">
      <c r="A23" s="98"/>
      <c r="B23" s="282"/>
      <c r="C23" s="280"/>
      <c r="D23" s="280"/>
      <c r="E23" s="280"/>
      <c r="F23" s="67"/>
      <c r="G23" s="67"/>
      <c r="H23" s="67"/>
    </row>
    <row r="24" spans="1:8" ht="27.75" customHeight="1" x14ac:dyDescent="0.2">
      <c r="B24" s="280"/>
      <c r="C24" s="280"/>
      <c r="D24" s="280"/>
      <c r="E24" s="280"/>
      <c r="F24" s="280"/>
      <c r="G24" s="280"/>
      <c r="H24" s="280"/>
    </row>
    <row r="25" spans="1:8" ht="27.75" customHeight="1" x14ac:dyDescent="0.2">
      <c r="B25" s="67"/>
      <c r="C25" s="67"/>
      <c r="D25" s="67"/>
      <c r="E25" s="67"/>
      <c r="F25" s="67"/>
      <c r="G25" s="67"/>
      <c r="H25" s="67"/>
    </row>
    <row r="26" spans="1:8" ht="15.75" customHeight="1" x14ac:dyDescent="0.2">
      <c r="B26" s="67"/>
      <c r="C26" s="67"/>
      <c r="D26" s="67"/>
      <c r="E26" s="67"/>
      <c r="F26" s="67"/>
      <c r="G26" s="67"/>
      <c r="H26" s="67"/>
    </row>
    <row r="27" spans="1:8" ht="15" x14ac:dyDescent="0.25">
      <c r="B27" s="68" t="s">
        <v>88</v>
      </c>
      <c r="C27" s="272" t="s">
        <v>92</v>
      </c>
      <c r="D27" s="272"/>
      <c r="E27" s="70" t="s">
        <v>93</v>
      </c>
      <c r="F27" s="70" t="s">
        <v>262</v>
      </c>
      <c r="G27" s="70" t="s">
        <v>18</v>
      </c>
      <c r="H27" s="70" t="s">
        <v>121</v>
      </c>
    </row>
    <row r="28" spans="1:8" ht="54.75" customHeight="1" x14ac:dyDescent="0.2">
      <c r="B28" s="71">
        <f>H13-J13</f>
        <v>44766</v>
      </c>
      <c r="C28" s="285" t="s">
        <v>137</v>
      </c>
      <c r="D28" s="285"/>
      <c r="E28" s="117">
        <v>45</v>
      </c>
      <c r="F28" s="151">
        <v>5</v>
      </c>
      <c r="G28" s="119">
        <v>0.1</v>
      </c>
      <c r="H28" s="117">
        <f>E28*F28</f>
        <v>225</v>
      </c>
    </row>
    <row r="29" spans="1:8" ht="15.75" customHeight="1" x14ac:dyDescent="0.2">
      <c r="B29" s="76"/>
      <c r="C29" s="286"/>
      <c r="D29" s="287"/>
      <c r="E29" s="109"/>
      <c r="F29" s="110"/>
      <c r="G29" s="110"/>
      <c r="H29" s="111"/>
    </row>
    <row r="30" spans="1:8" ht="30" customHeight="1" x14ac:dyDescent="0.2">
      <c r="B30" s="72"/>
      <c r="C30" s="288"/>
      <c r="D30" s="289"/>
      <c r="E30" s="63"/>
      <c r="F30" s="79" t="s">
        <v>97</v>
      </c>
      <c r="G30" s="79"/>
      <c r="H30" s="80">
        <f>SUM(H28:H29)</f>
        <v>225</v>
      </c>
    </row>
    <row r="31" spans="1:8" ht="30" customHeight="1" x14ac:dyDescent="0.2">
      <c r="B31" s="72"/>
      <c r="C31" s="72"/>
      <c r="D31" s="67"/>
      <c r="E31" s="63"/>
      <c r="F31" s="79" t="s">
        <v>125</v>
      </c>
      <c r="G31" s="79"/>
      <c r="H31" s="80">
        <f>G28*H28</f>
        <v>22.5</v>
      </c>
    </row>
    <row r="32" spans="1:8" ht="30" customHeight="1" x14ac:dyDescent="0.2">
      <c r="B32" s="72"/>
      <c r="C32" s="290"/>
      <c r="D32" s="280"/>
      <c r="E32" s="63"/>
      <c r="F32" s="81" t="s">
        <v>99</v>
      </c>
      <c r="G32" s="81"/>
      <c r="H32" s="82">
        <v>0</v>
      </c>
    </row>
    <row r="33" spans="1:9" ht="30" customHeight="1" x14ac:dyDescent="0.25">
      <c r="B33" s="83"/>
      <c r="C33" s="291"/>
      <c r="D33" s="278"/>
      <c r="E33" s="84"/>
      <c r="F33" s="85" t="s">
        <v>100</v>
      </c>
      <c r="G33" s="85"/>
      <c r="H33" s="86">
        <f>SUM(H30:H32)</f>
        <v>247.5</v>
      </c>
    </row>
    <row r="34" spans="1:9" ht="30" customHeight="1" x14ac:dyDescent="0.25">
      <c r="B34" s="83"/>
      <c r="C34" s="83"/>
      <c r="E34" s="84"/>
      <c r="F34" s="85"/>
      <c r="G34" s="85"/>
      <c r="H34" s="87"/>
    </row>
    <row r="35" spans="1:9" ht="30" customHeight="1" x14ac:dyDescent="0.25">
      <c r="B35" s="83"/>
      <c r="C35" s="83"/>
      <c r="E35" s="84"/>
      <c r="F35" s="85"/>
      <c r="G35" s="85"/>
      <c r="H35" s="86"/>
    </row>
    <row r="36" spans="1:9" ht="30" customHeight="1" x14ac:dyDescent="0.25">
      <c r="B36" s="83"/>
      <c r="C36" s="83"/>
      <c r="E36" s="84"/>
      <c r="F36" s="85"/>
      <c r="G36" s="85"/>
      <c r="H36" s="86"/>
    </row>
    <row r="37" spans="1:9" ht="30" customHeight="1" x14ac:dyDescent="0.25">
      <c r="B37" s="83"/>
      <c r="C37" s="83"/>
      <c r="E37" s="84"/>
      <c r="F37" s="85"/>
      <c r="G37" s="85"/>
      <c r="H37" s="86"/>
    </row>
    <row r="38" spans="1:9" ht="30" customHeight="1" x14ac:dyDescent="0.25">
      <c r="B38" s="83"/>
      <c r="C38" s="83"/>
      <c r="E38" s="84"/>
      <c r="F38" s="85"/>
      <c r="G38" s="85"/>
      <c r="H38" s="86"/>
    </row>
    <row r="39" spans="1:9" ht="30" customHeight="1" x14ac:dyDescent="0.25">
      <c r="B39" s="83"/>
      <c r="C39" s="83"/>
      <c r="E39" s="84"/>
      <c r="F39" s="85"/>
      <c r="G39" s="85"/>
      <c r="H39" s="86"/>
    </row>
    <row r="40" spans="1:9" ht="30" customHeight="1" x14ac:dyDescent="0.25">
      <c r="B40" s="83"/>
      <c r="C40" s="83"/>
      <c r="E40" s="84"/>
      <c r="F40" s="85"/>
      <c r="G40" s="85"/>
      <c r="H40" s="86"/>
    </row>
    <row r="41" spans="1:9" ht="30" customHeight="1" x14ac:dyDescent="0.2">
      <c r="B41" s="83"/>
      <c r="C41" s="88"/>
      <c r="D41" s="292" t="s">
        <v>101</v>
      </c>
      <c r="E41" s="292"/>
      <c r="F41" s="292"/>
      <c r="G41" s="89"/>
      <c r="H41" s="90"/>
    </row>
    <row r="42" spans="1:9" ht="12.75" customHeight="1" x14ac:dyDescent="0.2"/>
    <row r="43" spans="1:9" ht="12.75" x14ac:dyDescent="0.2">
      <c r="A43" s="92"/>
      <c r="B43" s="91" t="s">
        <v>102</v>
      </c>
      <c r="C43" s="92"/>
      <c r="D43" s="92"/>
      <c r="E43" s="120"/>
      <c r="F43" s="121"/>
      <c r="G43" s="121"/>
      <c r="H43" s="93" t="s">
        <v>103</v>
      </c>
      <c r="I43" s="122"/>
    </row>
    <row r="44" spans="1:9" ht="14.25" customHeight="1" x14ac:dyDescent="0.2">
      <c r="A44" s="92"/>
      <c r="B44" s="94" t="s">
        <v>104</v>
      </c>
      <c r="C44" s="53"/>
      <c r="D44" s="53"/>
      <c r="E44" s="120"/>
      <c r="F44" s="120"/>
      <c r="G44" s="283">
        <f>H33</f>
        <v>247.5</v>
      </c>
      <c r="H44" s="283"/>
      <c r="I44" s="122"/>
    </row>
    <row r="45" spans="1:9" ht="14.25" customHeight="1" x14ac:dyDescent="0.2">
      <c r="A45" s="53"/>
      <c r="B45" s="94" t="s">
        <v>106</v>
      </c>
      <c r="C45" s="53"/>
      <c r="D45" s="53"/>
      <c r="E45" s="120"/>
      <c r="F45" s="120"/>
      <c r="G45" s="283"/>
      <c r="H45" s="283"/>
      <c r="I45" s="122"/>
    </row>
    <row r="46" spans="1:9" ht="14.25" x14ac:dyDescent="0.2">
      <c r="A46" s="53"/>
      <c r="B46" s="94" t="s">
        <v>107</v>
      </c>
      <c r="C46" s="53"/>
      <c r="D46" s="53"/>
      <c r="E46" s="95"/>
      <c r="F46" s="95"/>
      <c r="G46" s="95"/>
      <c r="H46" s="95"/>
      <c r="I46" s="95"/>
    </row>
    <row r="47" spans="1:9" ht="14.25" x14ac:dyDescent="0.2">
      <c r="A47" s="53"/>
      <c r="B47" s="94" t="s">
        <v>114</v>
      </c>
      <c r="C47" s="96"/>
      <c r="D47" s="96"/>
      <c r="E47" s="97"/>
      <c r="F47" s="97"/>
      <c r="G47" s="97"/>
      <c r="H47" s="97"/>
      <c r="I47" s="95"/>
    </row>
    <row r="48" spans="1:9" ht="53.25" customHeight="1" x14ac:dyDescent="0.2">
      <c r="B48" s="284"/>
      <c r="C48" s="278"/>
      <c r="D48" s="278"/>
      <c r="E48" s="278"/>
      <c r="F48" s="278"/>
      <c r="G48" s="278"/>
      <c r="H48" s="278"/>
    </row>
    <row r="52" spans="6:7" ht="15.75" customHeight="1" x14ac:dyDescent="0.2">
      <c r="F52" s="62"/>
      <c r="G52" s="62"/>
    </row>
    <row r="53" spans="6:7" ht="15.75" customHeight="1" x14ac:dyDescent="0.2">
      <c r="F53" s="62"/>
      <c r="G53" s="62"/>
    </row>
    <row r="54" spans="6:7" ht="15.75" customHeight="1" x14ac:dyDescent="0.2">
      <c r="F54" s="62"/>
      <c r="G54" s="62"/>
    </row>
    <row r="57" spans="6:7" ht="15.75" customHeight="1" x14ac:dyDescent="0.2">
      <c r="F57" s="62"/>
      <c r="G57" s="62"/>
    </row>
    <row r="59" spans="6:7" ht="15.75" customHeight="1" x14ac:dyDescent="0.2">
      <c r="F59" s="62"/>
      <c r="G59" s="62"/>
    </row>
  </sheetData>
  <mergeCells count="20">
    <mergeCell ref="G44:H45"/>
    <mergeCell ref="B48:H48"/>
    <mergeCell ref="C28:D28"/>
    <mergeCell ref="C29:D29"/>
    <mergeCell ref="C30:D30"/>
    <mergeCell ref="C32:D32"/>
    <mergeCell ref="C33:D33"/>
    <mergeCell ref="D41:F41"/>
    <mergeCell ref="C27:D27"/>
    <mergeCell ref="E3:H3"/>
    <mergeCell ref="B4:D6"/>
    <mergeCell ref="E4:H4"/>
    <mergeCell ref="E5:H5"/>
    <mergeCell ref="E6:H6"/>
    <mergeCell ref="B9:H9"/>
    <mergeCell ref="B18:E18"/>
    <mergeCell ref="B19:E19"/>
    <mergeCell ref="B20:E20"/>
    <mergeCell ref="B23:E23"/>
    <mergeCell ref="B24:H24"/>
  </mergeCells>
  <conditionalFormatting sqref="B26">
    <cfRule type="notContainsBlanks" dxfId="0" priority="1">
      <formula>LEN(TRIM(B26))&gt;0</formula>
    </cfRule>
  </conditionalFormatting>
  <printOptions horizontalCentered="1" verticalCentered="1"/>
  <pageMargins left="0.11811023622047245" right="0" top="0.39370078740157483" bottom="0.31496062992125984" header="0.31496062992125984" footer="0.31496062992125984"/>
  <pageSetup paperSize="9" scale="81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59</vt:i4>
      </vt:variant>
      <vt:variant>
        <vt:lpstr>Named Ranges</vt:lpstr>
      </vt:variant>
      <vt:variant>
        <vt:i4>54</vt:i4>
      </vt:variant>
    </vt:vector>
  </HeadingPairs>
  <TitlesOfParts>
    <vt:vector size="113" baseType="lpstr">
      <vt:lpstr>Services</vt:lpstr>
      <vt:lpstr>Greice Calloni</vt:lpstr>
      <vt:lpstr>Filipe Barcellos</vt:lpstr>
      <vt:lpstr>Gina Mercer</vt:lpstr>
      <vt:lpstr>Kathryn Nigel</vt:lpstr>
      <vt:lpstr>Owen</vt:lpstr>
      <vt:lpstr>Sarah Black</vt:lpstr>
      <vt:lpstr>Sarah Walker</vt:lpstr>
      <vt:lpstr>Sophie Baran</vt:lpstr>
      <vt:lpstr>Amanda Spong</vt:lpstr>
      <vt:lpstr>Anita Nielsen</vt:lpstr>
      <vt:lpstr>Angie Kyle</vt:lpstr>
      <vt:lpstr>Benjamin Hope</vt:lpstr>
      <vt:lpstr>Daniel Jonas</vt:lpstr>
      <vt:lpstr>Janet Parsell</vt:lpstr>
      <vt:lpstr>Jacqueline Liffiton</vt:lpstr>
      <vt:lpstr>Jenni Mandersloot</vt:lpstr>
      <vt:lpstr>Kerrie Swadling</vt:lpstr>
      <vt:lpstr>Krystal Smith</vt:lpstr>
      <vt:lpstr>Lia Freestone</vt:lpstr>
      <vt:lpstr>Maria Matsouris</vt:lpstr>
      <vt:lpstr>Marita Jones</vt:lpstr>
      <vt:lpstr>Vanessa</vt:lpstr>
      <vt:lpstr>Amber Sherrin </vt:lpstr>
      <vt:lpstr>Cameron Crawford</vt:lpstr>
      <vt:lpstr>Caroline McLeod</vt:lpstr>
      <vt:lpstr>Julie Efron</vt:lpstr>
      <vt:lpstr>Kate Delphin</vt:lpstr>
      <vt:lpstr>Kieran Siedler</vt:lpstr>
      <vt:lpstr>Lucy Mercer Mapstone</vt:lpstr>
      <vt:lpstr>Sonia Weidenbach</vt:lpstr>
      <vt:lpstr>Julie Moltmann</vt:lpstr>
      <vt:lpstr>Emma Holman</vt:lpstr>
      <vt:lpstr>Harley Gorman</vt:lpstr>
      <vt:lpstr>Jaclyn Parker</vt:lpstr>
      <vt:lpstr>Jessica Sargent</vt:lpstr>
      <vt:lpstr>Kirsten Free</vt:lpstr>
      <vt:lpstr>Kirsty Jentsch</vt:lpstr>
      <vt:lpstr>Rachael Mohamad</vt:lpstr>
      <vt:lpstr>Rachel Freeman</vt:lpstr>
      <vt:lpstr>Adam Parker</vt:lpstr>
      <vt:lpstr>Alexander Zalotockyj</vt:lpstr>
      <vt:lpstr>Annette Palmer</vt:lpstr>
      <vt:lpstr>Kate Wright</vt:lpstr>
      <vt:lpstr>Katy Nesbitt</vt:lpstr>
      <vt:lpstr>Olivia Jinadasa </vt:lpstr>
      <vt:lpstr>Sarah Mackie </vt:lpstr>
      <vt:lpstr>Shani Hutchison</vt:lpstr>
      <vt:lpstr>The Link</vt:lpstr>
      <vt:lpstr>Alex McKeown</vt:lpstr>
      <vt:lpstr>Angie Sue</vt:lpstr>
      <vt:lpstr>Carly Robson</vt:lpstr>
      <vt:lpstr>Claire Haas</vt:lpstr>
      <vt:lpstr>Eleanor Robb</vt:lpstr>
      <vt:lpstr>End of Lease</vt:lpstr>
      <vt:lpstr>One-off</vt:lpstr>
      <vt:lpstr>Weekly Finances 2021-2022</vt:lpstr>
      <vt:lpstr>Staff Payments</vt:lpstr>
      <vt:lpstr>Template</vt:lpstr>
      <vt:lpstr>'Adam Parker'!Print_Area</vt:lpstr>
      <vt:lpstr>'Alex McKeown'!Print_Area</vt:lpstr>
      <vt:lpstr>'Alexander Zalotockyj'!Print_Area</vt:lpstr>
      <vt:lpstr>'Amanda Spong'!Print_Area</vt:lpstr>
      <vt:lpstr>'Amber Sherrin '!Print_Area</vt:lpstr>
      <vt:lpstr>'Angie Kyle'!Print_Area</vt:lpstr>
      <vt:lpstr>'Angie Sue'!Print_Area</vt:lpstr>
      <vt:lpstr>'Anita Nielsen'!Print_Area</vt:lpstr>
      <vt:lpstr>'Annette Palmer'!Print_Area</vt:lpstr>
      <vt:lpstr>'Benjamin Hope'!Print_Area</vt:lpstr>
      <vt:lpstr>'Cameron Crawford'!Print_Area</vt:lpstr>
      <vt:lpstr>'Carly Robson'!Print_Area</vt:lpstr>
      <vt:lpstr>'Caroline McLeod'!Print_Area</vt:lpstr>
      <vt:lpstr>'Claire Haas'!Print_Area</vt:lpstr>
      <vt:lpstr>'Daniel Jonas'!Print_Area</vt:lpstr>
      <vt:lpstr>'Eleanor Robb'!Print_Area</vt:lpstr>
      <vt:lpstr>'Emma Holman'!Print_Area</vt:lpstr>
      <vt:lpstr>'End of Lease'!Print_Area</vt:lpstr>
      <vt:lpstr>'Gina Mercer'!Print_Area</vt:lpstr>
      <vt:lpstr>'Harley Gorman'!Print_Area</vt:lpstr>
      <vt:lpstr>'Jaclyn Parker'!Print_Area</vt:lpstr>
      <vt:lpstr>'Jacqueline Liffiton'!Print_Area</vt:lpstr>
      <vt:lpstr>'Janet Parsell'!Print_Area</vt:lpstr>
      <vt:lpstr>'Jenni Mandersloot'!Print_Area</vt:lpstr>
      <vt:lpstr>'Jessica Sargent'!Print_Area</vt:lpstr>
      <vt:lpstr>'Julie Efron'!Print_Area</vt:lpstr>
      <vt:lpstr>'Julie Moltmann'!Print_Area</vt:lpstr>
      <vt:lpstr>'Kate Delphin'!Print_Area</vt:lpstr>
      <vt:lpstr>'Kate Wright'!Print_Area</vt:lpstr>
      <vt:lpstr>'Kathryn Nigel'!Print_Area</vt:lpstr>
      <vt:lpstr>'Katy Nesbitt'!Print_Area</vt:lpstr>
      <vt:lpstr>'Kerrie Swadling'!Print_Area</vt:lpstr>
      <vt:lpstr>'Kieran Siedler'!Print_Area</vt:lpstr>
      <vt:lpstr>'Kirsten Free'!Print_Area</vt:lpstr>
      <vt:lpstr>'Kirsty Jentsch'!Print_Area</vt:lpstr>
      <vt:lpstr>'Krystal Smith'!Print_Area</vt:lpstr>
      <vt:lpstr>'Lia Freestone'!Print_Area</vt:lpstr>
      <vt:lpstr>'Lucy Mercer Mapstone'!Print_Area</vt:lpstr>
      <vt:lpstr>'Maria Matsouris'!Print_Area</vt:lpstr>
      <vt:lpstr>'Marita Jones'!Print_Area</vt:lpstr>
      <vt:lpstr>'Olivia Jinadasa '!Print_Area</vt:lpstr>
      <vt:lpstr>'One-off'!Print_Area</vt:lpstr>
      <vt:lpstr>Owen!Print_Area</vt:lpstr>
      <vt:lpstr>'Rachael Mohamad'!Print_Area</vt:lpstr>
      <vt:lpstr>'Rachel Freeman'!Print_Area</vt:lpstr>
      <vt:lpstr>'Sarah Black'!Print_Area</vt:lpstr>
      <vt:lpstr>'Sarah Mackie '!Print_Area</vt:lpstr>
      <vt:lpstr>'Sarah Walker'!Print_Area</vt:lpstr>
      <vt:lpstr>'Shani Hutchison'!Print_Area</vt:lpstr>
      <vt:lpstr>'Sonia Weidenbach'!Print_Area</vt:lpstr>
      <vt:lpstr>'Sophie Baran'!Print_Area</vt:lpstr>
      <vt:lpstr>Template!Print_Area</vt:lpstr>
      <vt:lpstr>'The Link'!Print_Area</vt:lpstr>
      <vt:lpstr>Vanessa!Print_Area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Greice Calloni</dc:creator>
  <cp:keywords/>
  <dc:description/>
  <cp:lastModifiedBy>Greice Calloni</cp:lastModifiedBy>
  <cp:revision/>
  <cp:lastPrinted>2023-01-30T19:50:56Z</cp:lastPrinted>
  <dcterms:created xsi:type="dcterms:W3CDTF">2020-02-29T02:52:19Z</dcterms:created>
  <dcterms:modified xsi:type="dcterms:W3CDTF">2023-01-30T22:14:28Z</dcterms:modified>
  <cp:category/>
  <cp:contentStatus/>
</cp:coreProperties>
</file>